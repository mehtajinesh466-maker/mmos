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amitshome/Downloads/"/>
    </mc:Choice>
  </mc:AlternateContent>
  <xr:revisionPtr revIDLastSave="0" documentId="8_{2B74940E-C890-6640-833B-64583BE08143}" xr6:coauthVersionLast="47" xr6:coauthVersionMax="47" xr10:uidLastSave="{00000000-0000-0000-0000-000000000000}"/>
  <bookViews>
    <workbookView xWindow="0" yWindow="660" windowWidth="29400" windowHeight="18460" tabRatio="500" activeTab="1" xr2:uid="{00000000-000D-0000-FFFF-FFFF00000000}"/>
  </bookViews>
  <sheets>
    <sheet name="1. The Brief" sheetId="1" r:id="rId1"/>
    <sheet name="2. Families" sheetId="2" r:id="rId2"/>
    <sheet name="3. Joint Payments" sheetId="3" r:id="rId3"/>
    <sheet name="4. In Student Records" sheetId="4" r:id="rId4"/>
    <sheet name="5. In Packages" sheetId="5" r:id="rId5"/>
    <sheet name="6. In Attendance" sheetId="6" r:id="rId6"/>
    <sheet name="7. Family Rollup" sheetId="7" r:id="rId7"/>
    <sheet name="8. Proposed Data Model" sheetId="8" r:id="rId8"/>
    <sheet name="9. Detection Rules" sheetId="9" r:id="rId9"/>
    <sheet name="10. Test Cases" sheetId="10" r:id="rId10"/>
  </sheets>
  <definedNames>
    <definedName name="_xlnm._FilterDatabase" localSheetId="1" hidden="1">'2. Families'!$A$1:$L$61</definedName>
    <definedName name="_xlnm._FilterDatabase" localSheetId="2" hidden="1">'3. Joint Payments'!$A$1:$I$97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99" i="3" l="1"/>
  <c r="C99" i="3"/>
  <c r="H63" i="2"/>
  <c r="G63" i="2"/>
  <c r="F63" i="2"/>
  <c r="E63" i="2"/>
  <c r="C63" i="2"/>
</calcChain>
</file>

<file path=xl/sharedStrings.xml><?xml version="1.0" encoding="utf-8"?>
<sst xmlns="http://schemas.openxmlformats.org/spreadsheetml/2006/main" count="1128" uniqueCount="622">
  <si>
    <t>Siblings &amp; Families — data brief for the new system</t>
  </si>
  <si>
    <t>Master Moves Chess Club  |  prepared 05-Aug-2026  |  source: Zoho exports + acquirer settlement data</t>
  </si>
  <si>
    <t>THE PROBLEM IN ONE LINE</t>
  </si>
  <si>
    <t>Families are real in the business but do not exist in the data. Parents enrol several children, pay for them on ONE card, and expect one conversation — but every export we have is student-first, with no family, parent or payer entity anywhere in it.</t>
  </si>
  <si>
    <t>HOW BIG IS IT</t>
  </si>
  <si>
    <t>•  60 families identified, covering 130 students.</t>
  </si>
  <si>
    <t>•  96 joint payments worth AED 421,641.00 — one card transaction covering 2, 3 or 4 children.</t>
  </si>
  <si>
    <t>•  Those students hold 271 packages worth AED 541,880.90, which is 24.4% of all package revenue.</t>
  </si>
  <si>
    <t>•  This is not an edge case. A quarter of the money arrives as a family payment.</t>
  </si>
  <si>
    <t>WHAT BREAKS TODAY BECAUSE THERE IS NO FAMILY ENTITY</t>
  </si>
  <si>
    <t>•  Reconciliation. One AED 7,875 swipe has to be matched to two package rows of 3,937 and 3,938. Nothing in the data says they belong together, so it can only be inferred by arithmetic. That inference took several passes to get right and still needed the owner to confirm 15 families by hand.</t>
  </si>
  <si>
    <t>•  Revenue attribution. A sibling discount is applied to the family but recorded as a split across children, so per-student price looks wrong and no two siblings show the same rate.</t>
  </si>
  <si>
    <t>•  Renewal and outreach. Front office calls the same parent twice, once per child, and cannot see that the family has one balance and one renewal date.</t>
  </si>
  <si>
    <t>•  Refunds and credits. A credit belongs to the payer, not the child, and there is nowhere to hold it.</t>
  </si>
  <si>
    <t>•  Attendance economics. Classes are consumed per child but paid per family, so per-child balances drift apart even when the family paid a single amount.</t>
  </si>
  <si>
    <t>WHAT THIS WORKBOOK CONTAINS</t>
  </si>
  <si>
    <t>•  2. Families — the 60 families we can evidence, with members, centres and value.</t>
  </si>
  <si>
    <t>•  3. Joint Payments — all 96 payments where one card covered several children, with the exact split.</t>
  </si>
  <si>
    <t>•  4. In Student Records — the export schema and what is missing for family grouping.</t>
  </si>
  <si>
    <t>•  5. In Packages — the export schema and every sibling pattern seen in it, with real examples.</t>
  </si>
  <si>
    <t>•  6. In Attendance — the export schema and what siblings imply for it.</t>
  </si>
  <si>
    <t>•  7. Family Rollup — how the three sheets have to be added together per family, worked through on real data.</t>
  </si>
  <si>
    <t>•  8. Proposed Data Model — tables and fields to build.</t>
  </si>
  <si>
    <t>•  9. Detection Rules — how to infer families from the existing data at migration.</t>
  </si>
  <si>
    <t>•  10. Test Cases — real families with the expected answer, to test the build against.</t>
  </si>
  <si>
    <t>THE ONE THING TO GET RIGHT</t>
  </si>
  <si>
    <t>Model the PAYER and the FAMILY as first-class entities, and record the payment ONCE at family level with an allocation to each child. Do not store a split price on the child and try to reassemble it later. Everything painful in this workbook comes from having to reverse-engineer a single payment out of the pieces it was broken into.</t>
  </si>
  <si>
    <t>Family #</t>
  </si>
  <si>
    <t>Members</t>
  </si>
  <si>
    <t>Children</t>
  </si>
  <si>
    <t>Centre(s)</t>
  </si>
  <si>
    <t>Packages</t>
  </si>
  <si>
    <t>Package Value AED</t>
  </si>
  <si>
    <t>Joint Payments</t>
  </si>
  <si>
    <t>Joint Value AED</t>
  </si>
  <si>
    <t>First Payment</t>
  </si>
  <si>
    <t>Last Payment</t>
  </si>
  <si>
    <t>Shared surname?</t>
  </si>
  <si>
    <t>Notes</t>
  </si>
  <si>
    <t>Evaana Jamshidzadeh, Kiyaana Jamshidzadeh</t>
  </si>
  <si>
    <t>Bay avenue mall</t>
  </si>
  <si>
    <t>Yes</t>
  </si>
  <si>
    <t>Anika Iyer, Zarah Iyer</t>
  </si>
  <si>
    <t>Kiaan Gupta, Miraya Gupta</t>
  </si>
  <si>
    <t>Abigail Gonsalves, Avishai Gonsalves</t>
  </si>
  <si>
    <t>Nyra Jain, Vihaan Dalvi</t>
  </si>
  <si>
    <t>NO</t>
  </si>
  <si>
    <t>surnames differ — cannot be grouped by name</t>
  </si>
  <si>
    <t>Myra Bhandari, Pranshi Kulshrestha</t>
  </si>
  <si>
    <t>Eva Ghannaj, Yana Ghannaj</t>
  </si>
  <si>
    <t>Dhanya Garg, Vedant Garg</t>
  </si>
  <si>
    <t>Misha Garg, Viha Garg</t>
  </si>
  <si>
    <t>Abhijay Singh Matharu, Abhiraj Singh Matharu, Vihaan Singh Matharu</t>
  </si>
  <si>
    <t>3 children</t>
  </si>
  <si>
    <t>Alena Gordina, Mikhail Gordina</t>
  </si>
  <si>
    <t>Aadi Jain, Shrey Jain</t>
  </si>
  <si>
    <t>Keyan Kanodia, Mivaan Anuraag Mehta, Namah Chandpara, Tapish Kanodia</t>
  </si>
  <si>
    <t>JLT</t>
  </si>
  <si>
    <t>4 children</t>
  </si>
  <si>
    <t>Vince Charlie Peralta, Yohann Charles Peralta</t>
  </si>
  <si>
    <t>Avyaan Saraf, Shaarvi Saraf</t>
  </si>
  <si>
    <t>Aarya Shah, Darsh Shah</t>
  </si>
  <si>
    <t>Aaryav Rodrigues, Ronav Rodrigues</t>
  </si>
  <si>
    <t>Kabir Shrivastava, Shaan Shrivastava</t>
  </si>
  <si>
    <t>Kavya Shah, Yuvaan shah</t>
  </si>
  <si>
    <t>Joschua Lemke, Lilah Lemke</t>
  </si>
  <si>
    <t>Tiya Mundhra, Yatharth Mundhra</t>
  </si>
  <si>
    <t>Aarika, Adheesha</t>
  </si>
  <si>
    <t>Asher Ashish, Ashton Ashish</t>
  </si>
  <si>
    <t>Emmanuel kamel, Karas kamel</t>
  </si>
  <si>
    <t>Aryaveer Bhagat, Rajveer Bhagat</t>
  </si>
  <si>
    <t>Aavya Jain, Advay jain</t>
  </si>
  <si>
    <t>Jan Kulczycka, Weronika Kulczycka</t>
  </si>
  <si>
    <t>Daniil Apostolov, vadim Apostolov</t>
  </si>
  <si>
    <t>Faras Gherras, Ibrahim Boudenagh, Ilyes Gherras</t>
  </si>
  <si>
    <t>Skyler Saxena, Skylyn Saxena</t>
  </si>
  <si>
    <t>Finn Lyndon, kian Lyndon</t>
  </si>
  <si>
    <t>Bay avenue mall, JLT</t>
  </si>
  <si>
    <t>spans BOTH centres</t>
  </si>
  <si>
    <t>Aadya saxena, Aarya Saxena</t>
  </si>
  <si>
    <t>Andreas Papadouris, elene</t>
  </si>
  <si>
    <t>Kyna Gupta, Preksha Gupta</t>
  </si>
  <si>
    <t>Subhadra, zarah Allwin</t>
  </si>
  <si>
    <t>Khai Rajguru, Zen Rajguru</t>
  </si>
  <si>
    <t>Mihails Filipjonoks, Simon Filipjonoks</t>
  </si>
  <si>
    <t>Adam Draidi, Marah Draidi, Mihail Senguen, Noyan Seuguen</t>
  </si>
  <si>
    <t>(blank), Bay avenue mall, JLT</t>
  </si>
  <si>
    <t>spans BOTH centres; 4 children</t>
  </si>
  <si>
    <t>Dhritiyk Raipancholia, Kaartik Raipancholia</t>
  </si>
  <si>
    <t>Ammar Aleem, Yushav Aleem</t>
  </si>
  <si>
    <t>Luna Ozornek, Maya Ozornek</t>
  </si>
  <si>
    <t>Aarna Bansal, Sudiksha Khandelwal</t>
  </si>
  <si>
    <t>Kush, TARA</t>
  </si>
  <si>
    <t>Dishita Jhunjhunwala, Mehika Jhunjhunwala</t>
  </si>
  <si>
    <t>Rishik Kumar(JLT), Vihaan Kumar(JLT)</t>
  </si>
  <si>
    <t>Adam Al Sawaf, Alexander El Sawaf</t>
  </si>
  <si>
    <t>Lara Shembesh, Omar Shembesh</t>
  </si>
  <si>
    <t>Evelyn, Roslyn</t>
  </si>
  <si>
    <t>Aayansh, Rivah</t>
  </si>
  <si>
    <t>Aashray Mittal, Shaivi Mittal</t>
  </si>
  <si>
    <t>Khalid Alaryan, Yousef Alaryan</t>
  </si>
  <si>
    <t>Rayan Pietrek, Taliyah Pietrek</t>
  </si>
  <si>
    <t>Eva Ajanjan, Nora Ajanjah</t>
  </si>
  <si>
    <t>Amit Chordia, Bodhi Chokdia, Vanya Chordia</t>
  </si>
  <si>
    <t>(blank), Bay avenue mall</t>
  </si>
  <si>
    <t>Adam Afzal Dar, Ali Afzal Dar</t>
  </si>
  <si>
    <t>Isha Sawlani, Rhea Sawlani</t>
  </si>
  <si>
    <t>Nikita Sheth, Nyra Sheth</t>
  </si>
  <si>
    <t>Rudra Bajaj, Shiva Bajaj, Veer Bajaj</t>
  </si>
  <si>
    <t>Vasilisa, Vladimir</t>
  </si>
  <si>
    <t>Muhab Yousef, nedal yousef, noor yousef, rova yousef</t>
  </si>
  <si>
    <t>Payment Date</t>
  </si>
  <si>
    <t>Channel</t>
  </si>
  <si>
    <t>Card Amount AED</t>
  </si>
  <si>
    <t>Children On This Payment</t>
  </si>
  <si>
    <t>Split In Zoho</t>
  </si>
  <si>
    <t>Sum Of Splits</t>
  </si>
  <si>
    <t>Difference</t>
  </si>
  <si>
    <t>Pattern</t>
  </si>
  <si>
    <t>Zoho Rows</t>
  </si>
  <si>
    <t>Mashreq Ch1 (POS terminal)</t>
  </si>
  <si>
    <t>1440.00 + 1440.00</t>
  </si>
  <si>
    <t>exact</t>
  </si>
  <si>
    <t>456, 474</t>
  </si>
  <si>
    <t>2400.00 + 2400.00</t>
  </si>
  <si>
    <t>473, 699</t>
  </si>
  <si>
    <t>85, 411</t>
  </si>
  <si>
    <t>242, 349</t>
  </si>
  <si>
    <t>681, 722</t>
  </si>
  <si>
    <t>234, 730</t>
  </si>
  <si>
    <t>369, 481</t>
  </si>
  <si>
    <t>1320.00 + 1320.00</t>
  </si>
  <si>
    <t>275, 540</t>
  </si>
  <si>
    <t>Mashreq Ch2 (noon - Bay Avenue)</t>
  </si>
  <si>
    <t>306, 601</t>
  </si>
  <si>
    <t>1250.00 + 1250.00</t>
  </si>
  <si>
    <t>241, 345</t>
  </si>
  <si>
    <t>1200.00 + 1200.00 + 2400.00</t>
  </si>
  <si>
    <t>exact; UNEVEN split; 3 children</t>
  </si>
  <si>
    <t>41, 44, 710</t>
  </si>
  <si>
    <t>1680.00 + 1680.00</t>
  </si>
  <si>
    <t>112, 745</t>
  </si>
  <si>
    <t>1200.00 + 1200.00</t>
  </si>
  <si>
    <t>230, 728</t>
  </si>
  <si>
    <t>2880.00 + 2880.00</t>
  </si>
  <si>
    <t>712, 737</t>
  </si>
  <si>
    <t>2250.00 + 2250.00</t>
  </si>
  <si>
    <t>238, 343</t>
  </si>
  <si>
    <t>30, 558</t>
  </si>
  <si>
    <t>kian Lyndon, Finn Lyndon</t>
  </si>
  <si>
    <t>600.00 + 600.00</t>
  </si>
  <si>
    <t>exact; CROSS-CENTRE</t>
  </si>
  <si>
    <t>340, 855</t>
  </si>
  <si>
    <t>exact; Zoho dates differ across the children</t>
  </si>
  <si>
    <t>231, 727</t>
  </si>
  <si>
    <t>2500.00 + 2500.00</t>
  </si>
  <si>
    <t>45, 166</t>
  </si>
  <si>
    <t>1260.00 + 1260.00</t>
  </si>
  <si>
    <t>339, 854</t>
  </si>
  <si>
    <t>Magnati POS terminal (Bay Avenue)</t>
  </si>
  <si>
    <t>113, 746</t>
  </si>
  <si>
    <t>1850.00 + 1850.00</t>
  </si>
  <si>
    <t>329, 738</t>
  </si>
  <si>
    <t>224, 312</t>
  </si>
  <si>
    <t>420, 698</t>
  </si>
  <si>
    <t>236, 347</t>
  </si>
  <si>
    <t>2520.00 + 2520.00</t>
  </si>
  <si>
    <t>84, 409</t>
  </si>
  <si>
    <t>233, 731</t>
  </si>
  <si>
    <t>1500.00 + 1500.00</t>
  </si>
  <si>
    <t>117, 744</t>
  </si>
  <si>
    <t>1680.00 + 1680.00 + 1680.00</t>
  </si>
  <si>
    <t>exact; 3 children</t>
  </si>
  <si>
    <t>39, 42, 709</t>
  </si>
  <si>
    <t>48, 169</t>
  </si>
  <si>
    <t>1270.00 + 1250.00</t>
  </si>
  <si>
    <t>exact; UNEVEN split; CROSS-CENTRE</t>
  </si>
  <si>
    <t>338, 856</t>
  </si>
  <si>
    <t>noon payment link (Bay Avenue)</t>
  </si>
  <si>
    <t>2280.00 + 2280.00</t>
  </si>
  <si>
    <t>305, 600</t>
  </si>
  <si>
    <t>2100.00 + 2100.00</t>
  </si>
  <si>
    <t>337, 413</t>
  </si>
  <si>
    <t>1300.00 + 1300.00</t>
  </si>
  <si>
    <t>116, 748</t>
  </si>
  <si>
    <t>1980.00 + 1980.00</t>
  </si>
  <si>
    <t>289, 726</t>
  </si>
  <si>
    <t>40, 43, 711</t>
  </si>
  <si>
    <t>368, 503</t>
  </si>
  <si>
    <t>1920.00 + 1920.00</t>
  </si>
  <si>
    <t>32, 606</t>
  </si>
  <si>
    <t>noon - JLT (Magnati)</t>
  </si>
  <si>
    <t>764, 771</t>
  </si>
  <si>
    <t>111, 749</t>
  </si>
  <si>
    <t>232, 729</t>
  </si>
  <si>
    <t>47, 167</t>
  </si>
  <si>
    <t>3200.00 + 3200.00</t>
  </si>
  <si>
    <t>713, 736</t>
  </si>
  <si>
    <t>1100.00 + 1100.00</t>
  </si>
  <si>
    <t>363, 675</t>
  </si>
  <si>
    <t>2000.00 + 2000.00</t>
  </si>
  <si>
    <t>237, 344</t>
  </si>
  <si>
    <t>1400.00 + 1400.00</t>
  </si>
  <si>
    <t>variance AED 80.00</t>
  </si>
  <si>
    <t>213, 302</t>
  </si>
  <si>
    <t>3750.00 + 3750.00</t>
  </si>
  <si>
    <t>434, 501</t>
  </si>
  <si>
    <t>1845.00 + 1845.00</t>
  </si>
  <si>
    <t>367, 502</t>
  </si>
  <si>
    <t>25, 53</t>
  </si>
  <si>
    <t>2160.00 + 2160.00</t>
  </si>
  <si>
    <t>763, 772</t>
  </si>
  <si>
    <t>86, 410</t>
  </si>
  <si>
    <t>1545.30 + 1545.30 + 1545.30</t>
  </si>
  <si>
    <t>rounding, off by 0.10; 3 children</t>
  </si>
  <si>
    <t>245, 266, 267</t>
  </si>
  <si>
    <t>953, 984</t>
  </si>
  <si>
    <t>332, 416</t>
  </si>
  <si>
    <t>1885.00 + 1885.00 + 1885.00 + 1885.00</t>
  </si>
  <si>
    <t>exact; 4 children</t>
  </si>
  <si>
    <t>882, 903, 909, 958</t>
  </si>
  <si>
    <t>774, 830</t>
  </si>
  <si>
    <t>419, 696</t>
  </si>
  <si>
    <t>3937.00 + 3937.00</t>
  </si>
  <si>
    <t>rounding, off by 1.00</t>
  </si>
  <si>
    <t>7, 624</t>
  </si>
  <si>
    <t>50, 87</t>
  </si>
  <si>
    <t>239, 348</t>
  </si>
  <si>
    <t>3570.00 + 3570.00</t>
  </si>
  <si>
    <t>114, 747</t>
  </si>
  <si>
    <t>678, 734</t>
  </si>
  <si>
    <t>46, 168</t>
  </si>
  <si>
    <t>1512.00 + 1512.00</t>
  </si>
  <si>
    <t>228, 471</t>
  </si>
  <si>
    <t>1123.00 + 1123.00</t>
  </si>
  <si>
    <t>106, 219</t>
  </si>
  <si>
    <t>2318.00 + 2318.00</t>
  </si>
  <si>
    <t>803, 806</t>
  </si>
  <si>
    <t>37, 554</t>
  </si>
  <si>
    <t>2268.00 + 2268.00</t>
  </si>
  <si>
    <t>880, 980</t>
  </si>
  <si>
    <t>3412.00 + 3412.00</t>
  </si>
  <si>
    <t>951, 952</t>
  </si>
  <si>
    <t>960.00 + 960.00 + 960.00</t>
  </si>
  <si>
    <t>card includes 5% VAT; Zoho dates differ across the children; 3 children</t>
  </si>
  <si>
    <t>566, 615, 689</t>
  </si>
  <si>
    <t>3675.00 + 3675.00</t>
  </si>
  <si>
    <t>158, 510</t>
  </si>
  <si>
    <t>421, 697</t>
  </si>
  <si>
    <t>1575.00 + 1575.00</t>
  </si>
  <si>
    <t>174, 603</t>
  </si>
  <si>
    <t>525.00 + 525.00</t>
  </si>
  <si>
    <t>934, 969</t>
  </si>
  <si>
    <t>2625.00 + 2625.00</t>
  </si>
  <si>
    <t>769, 957</t>
  </si>
  <si>
    <t>2677.00 + 2677.00</t>
  </si>
  <si>
    <t>374, 401</t>
  </si>
  <si>
    <t>882.00 + 882.00</t>
  </si>
  <si>
    <t>829, 965</t>
  </si>
  <si>
    <t>211, 683</t>
  </si>
  <si>
    <t>297, 370</t>
  </si>
  <si>
    <t>49, 92</t>
  </si>
  <si>
    <t>881, 979</t>
  </si>
  <si>
    <t>175, 604</t>
  </si>
  <si>
    <t>2677.50 + 2677.50</t>
  </si>
  <si>
    <t>828, 964</t>
  </si>
  <si>
    <t>1764.00 + 1764.00</t>
  </si>
  <si>
    <t>519, 670</t>
  </si>
  <si>
    <t>24, 52</t>
  </si>
  <si>
    <t>98, 740</t>
  </si>
  <si>
    <t>Bodhi Chokdia, Amit Chordia, Vanya Chordia</t>
  </si>
  <si>
    <t>1050.00 + 1050.00 + 1050.00</t>
  </si>
  <si>
    <t>exact; CROSS-CENTRE; 3 children</t>
  </si>
  <si>
    <t>3, 97, 679</t>
  </si>
  <si>
    <t>2079.00 + 2079.00</t>
  </si>
  <si>
    <t>34, 69</t>
  </si>
  <si>
    <t>3938.00 + 3937.00</t>
  </si>
  <si>
    <t>exact; UNEVEN split</t>
  </si>
  <si>
    <t>333, 414</t>
  </si>
  <si>
    <t>328, 753</t>
  </si>
  <si>
    <t>214, 405</t>
  </si>
  <si>
    <t>891, 949</t>
  </si>
  <si>
    <t>3836.00 + 3938.00</t>
  </si>
  <si>
    <t>variance AED 101.00; UNEVEN split</t>
  </si>
  <si>
    <t>240, 346</t>
  </si>
  <si>
    <t>2362.00 + 2363.00</t>
  </si>
  <si>
    <t>243, 559</t>
  </si>
  <si>
    <t>630.00 + 630.00 + 630.00 + 630.00</t>
  </si>
  <si>
    <t>431, 450, 469, 560</t>
  </si>
  <si>
    <t>Mihail Senguen, Noyan Seuguen, Marah Draidi, Adam Draidi</t>
  </si>
  <si>
    <t>1338.00 + 1338.00 + 1500.00 + 1500.00</t>
  </si>
  <si>
    <t>variance AED -321.00; UNEVEN split; Zoho dates differ across the children; CROSS-CENTRE; 4 children</t>
  </si>
  <si>
    <t>406, 472, 4, 779</t>
  </si>
  <si>
    <t>TOTAL</t>
  </si>
  <si>
    <t>How siblings appear in Student_records</t>
  </si>
  <si>
    <t>One row per student. This is the master roster. There is NO family, parent, payer, household or guardian field of any kind.</t>
  </si>
  <si>
    <t>THE EXPORT SCHEMA</t>
  </si>
  <si>
    <t>Field</t>
  </si>
  <si>
    <t>Sibling relevance</t>
  </si>
  <si>
    <t>What the developer needs to know</t>
  </si>
  <si>
    <t>Name</t>
  </si>
  <si>
    <t>THE ONLY LINK</t>
  </si>
  <si>
    <t>Free text. Siblings usually share a surname, but 11 of our 60 families do not. Case and spacing are inconsistent ("kian Lyndon", "TARA", "Bodhi  Chokdia" with a double space).</t>
  </si>
  <si>
    <t>Student Id</t>
  </si>
  <si>
    <t>unusable</t>
  </si>
  <si>
    <t>Sparsely populated. It is not present at all in the Packages or Attendance exports, so it cannot be used to join.</t>
  </si>
  <si>
    <t>Mobile/Whatsapp</t>
  </si>
  <si>
    <t>BEST CANDIDATE</t>
  </si>
  <si>
    <t>A parent number is normally shared by all their children. This is the strongest field available for inferring a family, but it is not enforced or validated today.</t>
  </si>
  <si>
    <t>Date Enrolled</t>
  </si>
  <si>
    <t>supporting</t>
  </si>
  <si>
    <t>Siblings very often enrol on the same day. Useful as a secondary signal, not on its own.</t>
  </si>
  <si>
    <t>Assigned center</t>
  </si>
  <si>
    <t>watch out</t>
  </si>
  <si>
    <t>Siblings can sit at DIFFERENT centres. We have 2 families split across Bay Avenue and JLT. Do not scope a family to one centre.</t>
  </si>
  <si>
    <t>Age / Date of birth</t>
  </si>
  <si>
    <t>Different per child, obviously, but a shared surname plus close ages plus the same phone number is a strong family signal.</t>
  </si>
  <si>
    <t>School</t>
  </si>
  <si>
    <t>Siblings usually share a school. Another weak signal to stack.</t>
  </si>
  <si>
    <t>Status</t>
  </si>
  <si>
    <t>One child can be Active while a sibling is Inactive. A family must survive its children changing status.</t>
  </si>
  <si>
    <t>Overdue</t>
  </si>
  <si>
    <t>recompute</t>
  </si>
  <si>
    <t>System-calculated and known to drift. Never roll this up to a family; recompute from attendance.</t>
  </si>
  <si>
    <t>Coaches Details, FIDE ID, Student category, Current Student levels, COUNTRY AS PER FIDE, ET /JLT Resident, Joining Student level, HOW DID YOU HEAR ABOUT US</t>
  </si>
  <si>
    <t>no bearing</t>
  </si>
  <si>
    <t>Per-child attributes. Nothing here groups a family.</t>
  </si>
  <si>
    <t>THE GAP</t>
  </si>
  <si>
    <t>Nothing in this export answers "who paid for this child" or "who else belongs to this family". Every family in tab 2 was reconstructed from PAYMENT behaviour, not from the roster. If the new system captures a payer at enrolment, this whole problem disappears.</t>
  </si>
  <si>
    <t>How siblings appear in All_Student_Packages</t>
  </si>
  <si>
    <t>One row per package purchased. This is where the damage is done: a single family payment is broken into one row per child, and the link between those rows is never recorded.</t>
  </si>
  <si>
    <t>Student</t>
  </si>
  <si>
    <t>the only link</t>
  </si>
  <si>
    <t>Free text again, and must match Student_records exactly to join. There is no student id on this sheet.</t>
  </si>
  <si>
    <t>Price</t>
  </si>
  <si>
    <t>THE SPLIT</t>
  </si>
  <si>
    <t>This is the child's SHARE of a family payment, not what was charged to the card. AED 7,875 on the card becomes 3,937 + 3,938 in Zoho. Nothing marks these two rows as one payment.</t>
  </si>
  <si>
    <t>Date of payment</t>
  </si>
  <si>
    <t>unreliable for grouping</t>
  </si>
  <si>
    <t>Siblings on ONE card can carry DIFFERENT Zoho dates. We have 9 groups like this — the Bajaj children are dated 12 and 17 Dec against a single swipe on the 17th.</t>
  </si>
  <si>
    <t>Mode of payment</t>
  </si>
  <si>
    <t>unreliable</t>
  </si>
  <si>
    <t>Frequently blank or wrong. Two rows we chased were only resolved when the owner confirmed the mode was never filled in.</t>
  </si>
  <si>
    <t>A family payment can cover children at both centres. One AED 5,355 swipe covered two Bay Avenue children and two JLT children.</t>
  </si>
  <si>
    <t>No of classes</t>
  </si>
  <si>
    <t>per child</t>
  </si>
  <si>
    <t>Each child gets their own class count. Siblings on one payment often get DIFFERENT counts, so you cannot derive the split from classes either.</t>
  </si>
  <si>
    <t>New/Renewal, Class Status</t>
  </si>
  <si>
    <t>Independent per child. One sibling can be renewing while the other is new.</t>
  </si>
  <si>
    <t>Completed Classes, Overdue</t>
  </si>
  <si>
    <t>do not trust</t>
  </si>
  <si>
    <t>System-calculated and known to drift from actual attendance. Recompute from attendance records.</t>
  </si>
  <si>
    <t>Student Enroll First</t>
  </si>
  <si>
    <t>Siblings usually share an enrolment date.</t>
  </si>
  <si>
    <t>EVERY SPLIT PATTERN WE FOUND, AND HOW OFTEN</t>
  </si>
  <si>
    <t>Groups</t>
  </si>
  <si>
    <t>What it means for the model</t>
  </si>
  <si>
    <t>Even split, exact</t>
  </si>
  <si>
    <t>The simple case. Card amount equals the sum of the child prices to the fill.</t>
  </si>
  <si>
    <t>Uneven split</t>
  </si>
  <si>
    <t>Children on one payment get DIFFERENT amounts. Do not assume equal shares.</t>
  </si>
  <si>
    <t>Rounding, off by AED 1-5</t>
  </si>
  <si>
    <t>3,937 + 3,938 = 7,875. An exact-sum test fails. Allow a small tolerance, or better, stop splitting at all.</t>
  </si>
  <si>
    <t>Card carries 5% VAT on top</t>
  </si>
  <si>
    <t>Zoho 960 x 3 = 2,880 settled as a 3,024 swipe. Store the gross charged AND the net booked.</t>
  </si>
  <si>
    <t>Zoho dates differ across children</t>
  </si>
  <si>
    <t>The payment date on the child row is when it was keyed, not when the card was charged. Store the real transaction datetime.</t>
  </si>
  <si>
    <t>3 children on one payment</t>
  </si>
  <si>
    <t>Groups are not always pairs.</t>
  </si>
  <si>
    <t>4 children on one payment</t>
  </si>
  <si>
    <t>Model N children per payment, not two.</t>
  </si>
  <si>
    <t>Cross-centre family payment</t>
  </si>
  <si>
    <t>A family is not owned by a centre. Do not scope the family entity to a branch.</t>
  </si>
  <si>
    <t>Unexplained variance</t>
  </si>
  <si>
    <t>Discount or fee applied at family level and not carried onto the child rows.</t>
  </si>
  <si>
    <t>WORKED EXAMPLE — one card, two rows, no link</t>
  </si>
  <si>
    <t>Card transaction</t>
  </si>
  <si>
    <t>22-Jul-2026</t>
  </si>
  <si>
    <t>Mashreq POS terminal</t>
  </si>
  <si>
    <t>AED 7,875.00</t>
  </si>
  <si>
    <t>one swipe</t>
  </si>
  <si>
    <t>Zoho package row 1</t>
  </si>
  <si>
    <t>Evaana Jamshidzadeh</t>
  </si>
  <si>
    <t>AED 3,836.00</t>
  </si>
  <si>
    <t>24 classes</t>
  </si>
  <si>
    <t>Zoho package row 2</t>
  </si>
  <si>
    <t>Kiyaana Jamshidzadeh</t>
  </si>
  <si>
    <t>AED 3,938.00</t>
  </si>
  <si>
    <t>Sum of the two rows</t>
  </si>
  <si>
    <t>AED 7,774.00</t>
  </si>
  <si>
    <t>AED 101 LESS than the card</t>
  </si>
  <si>
    <t>What is missing</t>
  </si>
  <si>
    <t>nothing ties these two rows together, and the 101 discount is recorded nowhere</t>
  </si>
  <si>
    <t>How siblings appear in All_Attendance_Records</t>
  </si>
  <si>
    <t>One row per class session, per child. Attendance is genuinely individual — this is the one place where per-child data is correct and should stay that way.</t>
  </si>
  <si>
    <t>Same free-text join problem. No student id on this sheet either.</t>
  </si>
  <si>
    <t>Date, Session time</t>
  </si>
  <si>
    <t>Siblings often attend the SAME session — useful as a family signal, but never merge their attendance.</t>
  </si>
  <si>
    <t>Attendance</t>
  </si>
  <si>
    <t>normalise first</t>
  </si>
  <si>
    <t>Values are inconsistently cased and worded: Present, present, Absent, "Absent but informed". Count a session only on a case-insensitive match to "present".</t>
  </si>
  <si>
    <t>A child attends at their own centre even when the family paid through the other one.</t>
  </si>
  <si>
    <t>Coaches Details, Class duration, Auto sync, ID</t>
  </si>
  <si>
    <t>Per-session attributes.</t>
  </si>
  <si>
    <t>THE RULE THAT MATTERS</t>
  </si>
  <si>
    <t>•  Attendance stays PER CHILD. Classes are consumed by the child who sat in the room.</t>
  </si>
  <si>
    <t>•  Money is FAMILY level. Classes are CHILD level. Keep them in separate tables and join them through the child.</t>
  </si>
  <si>
    <t>•  Do not net a family balance in classes. Two siblings can buy 24 classes each on one payment and burn them at completely different rates — the family owes nothing but one child may be out of classes.</t>
  </si>
  <si>
    <t>•  Consume attendance against that child's own packages in date order, exactly as the existing overdue logic does. The family payment does not change that; it only changes how the package was funded.</t>
  </si>
  <si>
    <t>Family Rollup — how the three sheets add together</t>
  </si>
  <si>
    <t>What rolls UP to the family, what stays DOWN at the child, and what must never be netted. Get this wrong and either the parent is billed twice or a child attends classes nobody paid for.</t>
  </si>
  <si>
    <t>THE RULE TABLE</t>
  </si>
  <si>
    <t>Measure</t>
  </si>
  <si>
    <t>Lives at</t>
  </si>
  <si>
    <t>Rolls up?</t>
  </si>
  <si>
    <t>How to compute</t>
  </si>
  <si>
    <t>Trap</t>
  </si>
  <si>
    <t>Amount charged</t>
  </si>
  <si>
    <t>FAMILY / payment</t>
  </si>
  <si>
    <t>n/a</t>
  </si>
  <si>
    <t>The gross on the card. One row per real card transaction.</t>
  </si>
  <si>
    <t>Never reconstruct it by summing child prices — rounding and discounts make that fail.</t>
  </si>
  <si>
    <t>Allocation to a child</t>
  </si>
  <si>
    <t>link table</t>
  </si>
  <si>
    <t>payment_id -&gt; student_id -&gt; allocated amount. Must sum to the payment gross.</t>
  </si>
  <si>
    <t>Enforce the sum with a constraint. That single check would have caught every case in tab 3.</t>
  </si>
  <si>
    <t>Discount</t>
  </si>
  <si>
    <t>FAMILY</t>
  </si>
  <si>
    <t>yes</t>
  </si>
  <si>
    <t>Applied to the payment, then allocated. Store the reason.</t>
  </si>
  <si>
    <t>Today it is silently buried in the child split, so per-child price looks arbitrary.</t>
  </si>
  <si>
    <t>Classes purchased</t>
  </si>
  <si>
    <t>CHILD</t>
  </si>
  <si>
    <t>no</t>
  </si>
  <si>
    <t>Per child, on their own package.</t>
  </si>
  <si>
    <t>Siblings on one payment often buy different class counts.</t>
  </si>
  <si>
    <t>Classes attended</t>
  </si>
  <si>
    <t>Count attendance rows matching "present", case-insensitive.</t>
  </si>
  <si>
    <t>Never merge siblings' attendance, even when they sit in the same session.</t>
  </si>
  <si>
    <t>Classes remaining</t>
  </si>
  <si>
    <t>Consume that child's attendance against that child's packages in date order.</t>
  </si>
  <si>
    <t>Do not net across siblings. One child can be out of classes while the family is in credit.</t>
  </si>
  <si>
    <t>Amount owed / credit</t>
  </si>
  <si>
    <t>Sum of family payments less the value of what each child has consumed.</t>
  </si>
  <si>
    <t>A credit belongs to the payer, not the child. It must survive one child leaving.</t>
  </si>
  <si>
    <t>Renewal due date</t>
  </si>
  <si>
    <t>FAMILY view, CHILD source</t>
  </si>
  <si>
    <t>Earliest renewal across the children, surfaced as one family action.</t>
  </si>
  <si>
    <t>Front office should get ONE call to make, not one per child.</t>
  </si>
  <si>
    <t>Centre</t>
  </si>
  <si>
    <t>Each child sits at their own centre.</t>
  </si>
  <si>
    <t>A family is not owned by a centre. 2 of our families span both.</t>
  </si>
  <si>
    <t>Contact / payer</t>
  </si>
  <si>
    <t>One payer record, one phone, one email.</t>
  </si>
  <si>
    <t>This is the field that does not exist today and causes everything else.</t>
  </si>
  <si>
    <t>WORKED EXAMPLE — the Bajaj family, 17-Dec-2025</t>
  </si>
  <si>
    <t>Step</t>
  </si>
  <si>
    <t>Source sheet</t>
  </si>
  <si>
    <t>Value</t>
  </si>
  <si>
    <t>Note</t>
  </si>
  <si>
    <t>One card swipe</t>
  </si>
  <si>
    <t>acquirer settlement</t>
  </si>
  <si>
    <t>AED 3,024.00</t>
  </si>
  <si>
    <t>the only true record of what was charged</t>
  </si>
  <si>
    <t>Zoho: Rudra Bajaj</t>
  </si>
  <si>
    <t>AED 960.00</t>
  </si>
  <si>
    <t>dated 17-Dec</t>
  </si>
  <si>
    <t>Zoho: Shiva Bajaj</t>
  </si>
  <si>
    <t>dated 12-Dec — five days earlier than the swipe</t>
  </si>
  <si>
    <t>Zoho: Veer Bajaj</t>
  </si>
  <si>
    <t>Sum of the three</t>
  </si>
  <si>
    <t>AED 2,880.00</t>
  </si>
  <si>
    <t>AED 144 short of the card</t>
  </si>
  <si>
    <t>Why</t>
  </si>
  <si>
    <t>x 1.05</t>
  </si>
  <si>
    <t>the card carried 5% VAT: 2,880 x 1.05 = 3,024 exactly</t>
  </si>
  <si>
    <t>Family owes</t>
  </si>
  <si>
    <t>nil</t>
  </si>
  <si>
    <t>one payment, fully allocated</t>
  </si>
  <si>
    <t>Each child's classes</t>
  </si>
  <si>
    <t>independent</t>
  </si>
  <si>
    <t>consumed separately, at their own pace</t>
  </si>
  <si>
    <t>Proposed data model</t>
  </si>
  <si>
    <t>Five tables. The important move is that a payment is recorded once, at family level, and allocated to children through a link table — rather than being pre-split onto the child rows as it is today.</t>
  </si>
  <si>
    <t>Table</t>
  </si>
  <si>
    <t>Type / key</t>
  </si>
  <si>
    <t>family</t>
  </si>
  <si>
    <t>family_id</t>
  </si>
  <si>
    <t>PK</t>
  </si>
  <si>
    <t>One household.</t>
  </si>
  <si>
    <t>display_name</t>
  </si>
  <si>
    <t>text</t>
  </si>
  <si>
    <t>e.g. "Bajaj". Free text, for the front office only — never used as a key.</t>
  </si>
  <si>
    <t>primary_payer_id</t>
  </si>
  <si>
    <t>FK payer</t>
  </si>
  <si>
    <t>Who normally pays.</t>
  </si>
  <si>
    <t>notes</t>
  </si>
  <si>
    <t>payer</t>
  </si>
  <si>
    <t>payer_id</t>
  </si>
  <si>
    <t>A parent or guardian. Separate from family because a family can have two payers, and a payer can pay for more than one family.</t>
  </si>
  <si>
    <t>name, mobile, email</t>
  </si>
  <si>
    <t>Mobile is the field that would have let us group every family in tab 2 automatically.</t>
  </si>
  <si>
    <t>student</t>
  </si>
  <si>
    <t>student_id</t>
  </si>
  <si>
    <t>One child. Keep the existing roster fields.</t>
  </si>
  <si>
    <t>FK family, NULLABLE</t>
  </si>
  <si>
    <t>Nullable on purpose — a child with no siblings needs no family, and forcing one creates noise.</t>
  </si>
  <si>
    <t>centre_id</t>
  </si>
  <si>
    <t>FK</t>
  </si>
  <si>
    <t>Per child. NOT inherited from the family.</t>
  </si>
  <si>
    <t>payment</t>
  </si>
  <si>
    <t>payment_id</t>
  </si>
  <si>
    <t>ONE row per real card transaction. This is the row that was missing.</t>
  </si>
  <si>
    <t>FK family</t>
  </si>
  <si>
    <t>Who the payment is for.</t>
  </si>
  <si>
    <t>Who actually paid.</t>
  </si>
  <si>
    <t>gross_amount</t>
  </si>
  <si>
    <t>decimal</t>
  </si>
  <si>
    <t>What hit the card, VAT included.</t>
  </si>
  <si>
    <t>net_amount</t>
  </si>
  <si>
    <t>What settled to the bank after acquirer fees.</t>
  </si>
  <si>
    <t>discount_amount, discount_reason</t>
  </si>
  <si>
    <t>decimal, text</t>
  </si>
  <si>
    <t>Family-level. Stop burying it in the child split.</t>
  </si>
  <si>
    <t>channel, terminal_id, acquirer_ref, card_last4</t>
  </si>
  <si>
    <t>Enough to tie back to the settlement file without guessing.</t>
  </si>
  <si>
    <t>transacted_at</t>
  </si>
  <si>
    <t>datetime</t>
  </si>
  <si>
    <t>The REAL card timestamp, not the date somebody keyed the record.</t>
  </si>
  <si>
    <t>package</t>
  </si>
  <si>
    <t>package_id</t>
  </si>
  <si>
    <t>One purchase for one child.</t>
  </si>
  <si>
    <t>FK student</t>
  </si>
  <si>
    <t>Per child.</t>
  </si>
  <si>
    <t>classes_purchased, price_allocated</t>
  </si>
  <si>
    <t>int, decimal</t>
  </si>
  <si>
    <t>price_allocated is this child's SHARE of the payment.</t>
  </si>
  <si>
    <t>payment_allocation</t>
  </si>
  <si>
    <t>payment_id, package_id</t>
  </si>
  <si>
    <t>composite PK</t>
  </si>
  <si>
    <t>THE LINK THAT DOES NOT EXIST TODAY.</t>
  </si>
  <si>
    <t>allocated_amount</t>
  </si>
  <si>
    <t>CONSTRAINT: sum of allocated_amount per payment_id = payment.gross_amount. This one constraint prevents every problem in tab 3.</t>
  </si>
  <si>
    <t>attendance</t>
  </si>
  <si>
    <t>attendance_id, student_id, session_datetime, status</t>
  </si>
  <si>
    <t>Unchanged. Per child, always.</t>
  </si>
  <si>
    <t>Migration — how to infer families from the existing data</t>
  </si>
  <si>
    <t>This is the exact ladder used to build tab 2. Run it in order and stop at the first rule that fires. Anything that reaches the bottom needs a human.</t>
  </si>
  <si>
    <t>Rule</t>
  </si>
  <si>
    <t>Test</t>
  </si>
  <si>
    <t>Confidence</t>
  </si>
  <si>
    <t>1</t>
  </si>
  <si>
    <t>Two or more packages whose prices sum EXACTLY to one card transaction, within 3 days</t>
  </si>
  <si>
    <t>CERTAIN</t>
  </si>
  <si>
    <t>Fired 84 times. This is the backbone.</t>
  </si>
  <si>
    <t>2</t>
  </si>
  <si>
    <t>Same as rule 1 but allow AED 5 tolerance</t>
  </si>
  <si>
    <t>Fired 8 times. Catches the 3,937 + 3,938 = 7,875 split.</t>
  </si>
  <si>
    <t>3</t>
  </si>
  <si>
    <t>Same as rule 1 but test sum x 1.05 as well</t>
  </si>
  <si>
    <t>Fired 0 time. Catches VAT added on the card.</t>
  </si>
  <si>
    <t>4</t>
  </si>
  <si>
    <t>Widen the date window to 14 days before matching</t>
  </si>
  <si>
    <t>HIGH</t>
  </si>
  <si>
    <t>Zoho dates drift from the swipe date on 9 groups.</t>
  </si>
  <si>
    <t>5</t>
  </si>
  <si>
    <t>The payment reference names two students ("MAYA&amp;LUNA", "AARYA/DARSH")</t>
  </si>
  <si>
    <t>noon references carry names. Free, and independent of the amount.</t>
  </si>
  <si>
    <t>6</t>
  </si>
  <si>
    <t>Shared surname AND overlapping enrolment</t>
  </si>
  <si>
    <t>MEDIUM</t>
  </si>
  <si>
    <t>Fails on the 11 families with different surnames — do not rely on it alone.</t>
  </si>
  <si>
    <t>7</t>
  </si>
  <si>
    <t>Shared parent mobile number</t>
  </si>
  <si>
    <t>SHOULD BE HIGHEST</t>
  </si>
  <si>
    <t>Not usable on the current export, but this is what the new system should capture. It would replace rules 1 to 6.</t>
  </si>
  <si>
    <t>8</t>
  </si>
  <si>
    <t>Anything left</t>
  </si>
  <si>
    <t>ASK</t>
  </si>
  <si>
    <t>15 families needed the owner to confirm by hand. Budget for a review screen; do not auto-merge on a guess.</t>
  </si>
  <si>
    <t>THINGS THAT WILL BITE YOU</t>
  </si>
  <si>
    <t>•  Do not merge on surname alone. "Bodhi Chokdia" pays with "Amit Chordia" and "Vanya Chordia" — three different spellings, one payment.</t>
  </si>
  <si>
    <t>•  Do not assume pairs. 6 groups have 3 children and 3 have 4.</t>
  </si>
  <si>
    <t>•  Do not assume equal shares. 6 groups are split unevenly.</t>
  </si>
  <si>
    <t>•  Do not scope a family to a centre. 2 families span both.</t>
  </si>
  <si>
    <t>•  Names have double spaces, mixed case and misspellings between sheets ("Noan"/"Noah Dukhgan", "Ayub Elmi"/"Ayub Elimi"). Normalise before joining.</t>
  </si>
  <si>
    <t>•  Exact-duplicate package rows exist. We found Oliver Heebarth entered twice for the same AED 840. De-duplicate before you infer anything.</t>
  </si>
  <si>
    <t>Test cases — real families, with the expected answer</t>
  </si>
  <si>
    <t>Run the migration against these and check the output matches. They were chosen to cover every awkward pattern in the data.</t>
  </si>
  <si>
    <t>#</t>
  </si>
  <si>
    <t>Family</t>
  </si>
  <si>
    <t>Payment date</t>
  </si>
  <si>
    <t>Card AED</t>
  </si>
  <si>
    <t>Children and their Zoho share</t>
  </si>
  <si>
    <t>Expected result</t>
  </si>
  <si>
    <t>What it tests</t>
  </si>
  <si>
    <t>Rudra 960.00 + Shiva 960.00 + Veer 960.00</t>
  </si>
  <si>
    <t>1 payment of AED 3,024.00 allocated to 3 children; family owes nil; allocation must absorb AED 144.00 (VAT)</t>
  </si>
  <si>
    <t>one family, three children, VAT added on the card and Zoho dates that disagree</t>
  </si>
  <si>
    <t>Evaana 3836.00 + Kiyaana 3938.00</t>
  </si>
  <si>
    <t>1 payment of AED 7,875.00 allocated to 2 children; family owes nil; allocation must absorb AED 101.00 (discount/rounding)</t>
  </si>
  <si>
    <t>uneven split that does NOT sum to the card — a family discount recorded nowhere</t>
  </si>
  <si>
    <t>Mihail 1338.00 + Noyan 1338.00 + Marah 1500.00 + Adam 1500.00</t>
  </si>
  <si>
    <t>1 payment of AED 5,355.00 allocated to 4 children; family owes nil; allocation must absorb AED 321.00 (discount/rounding)</t>
  </si>
  <si>
    <t>four children across BOTH centres on one swipe</t>
  </si>
  <si>
    <t>Bodhi 1050.00 + Amit 1050.00 + Vanya 1050.00</t>
  </si>
  <si>
    <t>1 payment of AED 3,150.00 allocated to 3 children; family owes nil</t>
  </si>
  <si>
    <t>three children with three different surnames</t>
  </si>
  <si>
    <t>Misha 3937.00 + Viha 3937.00</t>
  </si>
  <si>
    <t>1 payment of AED 7,875.00 allocated to 2 children; family owes nil; allocation must absorb AED 1.00 (discount/rounding)</t>
  </si>
  <si>
    <t>the classic 3,937 + 3,937 = 7,874 one-dirham rounding trap</t>
  </si>
  <si>
    <t>Faras 1545.30 + Ibrahim 1545.30 + Ilyes 1545.30</t>
  </si>
  <si>
    <t>1 payment of AED 4,636.00 allocated to 3 children; family owes nil; allocation must absorb AED 0.10 (discount/rounding)</t>
  </si>
  <si>
    <t>three children, two surnames, not actually siblings — friends paying together</t>
  </si>
  <si>
    <t>Muhab 630.00 + nedal 630.00 + noor 630.00 + rova 630.00</t>
  </si>
  <si>
    <t>1 payment of AED 2,520.00 allocated to 4 children; family owes nil</t>
  </si>
  <si>
    <t>four children, small even split</t>
  </si>
  <si>
    <t>Myra 3750.00 + Pranshi 3750.00</t>
  </si>
  <si>
    <t>1 payment of AED 7,500.00 allocated to 2 children; family owes nil</t>
  </si>
  <si>
    <t>two children, different surnames, JLT</t>
  </si>
  <si>
    <t>ACCEPTANCE TEST</t>
  </si>
  <si>
    <t>For every payment in tab 3: sum of allocated_amount across its children must equal payment.gross_amount, to the fill. 96 payments, AED 421,641.00. If that holds, the model is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</si>
</sst>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dd\-mmm\-yyyy"/>
  </numFmts>
  <fonts count="9" x14ac:knownFonts="1">
    <font>
      <sz val="11"/>
      <color theme="1"/>
      <name val="Calibri"/>
      <family val="2"/>
      <charset val="1"/>
    </font>
    <font>
      <b/>
      <sz val="16"/>
      <color rgb="FF1F3864"/>
      <name val="Arial"/>
      <family val="2"/>
    </font>
    <font>
      <b/>
      <sz val="10"/>
      <color rgb="FF000000"/>
      <name val="Arial"/>
      <family val="2"/>
    </font>
    <font>
      <b/>
      <sz val="12"/>
      <color rgb="FF1F3864"/>
      <name val="Arial"/>
      <family val="2"/>
    </font>
    <font>
      <sz val="10"/>
      <color rgb="FF000000"/>
      <name val="Arial"/>
      <family val="2"/>
    </font>
    <font>
      <b/>
      <sz val="10"/>
      <color rgb="FFFFFFFF"/>
      <name val="Arial"/>
      <family val="2"/>
    </font>
    <font>
      <sz val="10"/>
      <name val="Arial"/>
      <family val="2"/>
    </font>
    <font>
      <b/>
      <sz val="10"/>
      <name val="Arial"/>
      <family val="2"/>
    </font>
    <font>
      <b/>
      <sz val="15"/>
      <color rgb="FF1F3864"/>
      <name val="Arial"/>
      <family val="2"/>
    </font>
  </fonts>
  <fills count="8">
    <fill>
      <patternFill patternType="none"/>
    </fill>
    <fill>
      <patternFill patternType="gray125"/>
    </fill>
    <fill>
      <patternFill patternType="solid">
        <fgColor rgb="FF1F3864"/>
        <bgColor rgb="FF333333"/>
      </patternFill>
    </fill>
    <fill>
      <patternFill patternType="solid">
        <fgColor rgb="FFC6EFCE"/>
        <bgColor rgb="FFDDEBF7"/>
      </patternFill>
    </fill>
    <fill>
      <patternFill patternType="solid">
        <fgColor rgb="FFFFC7CE"/>
        <bgColor rgb="FFD0D0D0"/>
      </patternFill>
    </fill>
    <fill>
      <patternFill patternType="solid">
        <fgColor rgb="FFDDEBF7"/>
        <bgColor rgb="FFEDEDED"/>
      </patternFill>
    </fill>
    <fill>
      <patternFill patternType="solid">
        <fgColor rgb="FFFFEB9C"/>
        <bgColor rgb="FFEDEDED"/>
      </patternFill>
    </fill>
    <fill>
      <patternFill patternType="solid">
        <fgColor rgb="FFEDEDED"/>
        <bgColor rgb="FFDDEBF7"/>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36">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horizontal="center" vertical="center" wrapText="1"/>
    </xf>
    <xf numFmtId="0" fontId="6" fillId="0" borderId="1" xfId="0" applyFont="1" applyBorder="1" applyAlignment="1">
      <alignment horizontal="center"/>
    </xf>
    <xf numFmtId="0" fontId="6" fillId="0" borderId="1" xfId="0" applyFont="1" applyBorder="1" applyAlignment="1">
      <alignment vertical="top" wrapText="1"/>
    </xf>
    <xf numFmtId="164" fontId="6" fillId="0" borderId="1" xfId="0" applyNumberFormat="1" applyFont="1" applyBorder="1" applyAlignment="1">
      <alignment vertical="top"/>
    </xf>
    <xf numFmtId="165" fontId="6" fillId="0" borderId="1" xfId="0" applyNumberFormat="1" applyFont="1" applyBorder="1" applyAlignment="1">
      <alignment vertical="top"/>
    </xf>
    <xf numFmtId="0" fontId="6" fillId="3" borderId="1" xfId="0" applyFont="1" applyFill="1" applyBorder="1" applyAlignment="1">
      <alignment horizontal="center"/>
    </xf>
    <xf numFmtId="0" fontId="6" fillId="4" borderId="1" xfId="0" applyFont="1" applyFill="1" applyBorder="1" applyAlignment="1">
      <alignment horizontal="center"/>
    </xf>
    <xf numFmtId="3" fontId="7" fillId="5" borderId="0" xfId="0" applyNumberFormat="1" applyFont="1" applyFill="1"/>
    <xf numFmtId="164" fontId="7" fillId="5" borderId="0" xfId="0" applyNumberFormat="1" applyFont="1" applyFill="1"/>
    <xf numFmtId="0" fontId="6" fillId="0" borderId="1" xfId="0" applyFont="1" applyBorder="1" applyAlignment="1">
      <alignment vertical="top"/>
    </xf>
    <xf numFmtId="0" fontId="6" fillId="6" borderId="1" xfId="0" applyFont="1" applyFill="1" applyBorder="1" applyAlignment="1">
      <alignment vertical="top" wrapText="1"/>
    </xf>
    <xf numFmtId="0" fontId="6" fillId="4" borderId="1" xfId="0" applyFont="1" applyFill="1" applyBorder="1" applyAlignment="1">
      <alignment vertical="top" wrapText="1"/>
    </xf>
    <xf numFmtId="164" fontId="6" fillId="6" borderId="1" xfId="0" applyNumberFormat="1" applyFont="1" applyFill="1" applyBorder="1" applyAlignment="1">
      <alignment vertical="top"/>
    </xf>
    <xf numFmtId="0" fontId="7" fillId="0" borderId="0" xfId="0" applyFont="1"/>
    <xf numFmtId="0" fontId="8" fillId="0" borderId="0" xfId="0" applyFont="1"/>
    <xf numFmtId="0" fontId="5" fillId="2" borderId="0" xfId="0" applyFont="1" applyFill="1"/>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6" fillId="7" borderId="1" xfId="0" applyFont="1" applyFill="1" applyBorder="1" applyAlignment="1">
      <alignment vertical="top" wrapText="1"/>
    </xf>
    <xf numFmtId="0" fontId="6" fillId="0" borderId="1" xfId="0" applyFont="1" applyBorder="1"/>
    <xf numFmtId="0" fontId="6" fillId="6" borderId="1" xfId="0" applyFont="1" applyFill="1" applyBorder="1" applyAlignment="1">
      <alignment horizontal="center"/>
    </xf>
    <xf numFmtId="0" fontId="7" fillId="0" borderId="1" xfId="0" applyFont="1" applyBorder="1" applyAlignment="1">
      <alignment vertical="top" wrapText="1"/>
    </xf>
    <xf numFmtId="0" fontId="6" fillId="5" borderId="1" xfId="0" applyFont="1" applyFill="1" applyBorder="1" applyAlignment="1">
      <alignment vertical="top" wrapText="1"/>
    </xf>
    <xf numFmtId="0" fontId="5" fillId="2" borderId="1" xfId="0" applyFont="1" applyFill="1" applyBorder="1" applyAlignment="1">
      <alignment vertical="top" wrapText="1"/>
    </xf>
    <xf numFmtId="0" fontId="4" fillId="0" borderId="1" xfId="0" applyFont="1" applyBorder="1" applyAlignment="1">
      <alignment vertical="top" wrapText="1"/>
    </xf>
    <xf numFmtId="0" fontId="2" fillId="0" borderId="1" xfId="0" applyFont="1" applyBorder="1" applyAlignment="1">
      <alignment vertical="top" wrapText="1"/>
    </xf>
    <xf numFmtId="0" fontId="2" fillId="6" borderId="1" xfId="0" applyFont="1" applyFill="1" applyBorder="1" applyAlignment="1">
      <alignment vertical="top" wrapText="1"/>
    </xf>
    <xf numFmtId="0" fontId="7" fillId="5" borderId="1" xfId="0" applyFont="1" applyFill="1" applyBorder="1" applyAlignment="1">
      <alignment vertical="top" wrapText="1"/>
    </xf>
    <xf numFmtId="0" fontId="6" fillId="3" borderId="1" xfId="0" applyFont="1" applyFill="1" applyBorder="1" applyAlignment="1">
      <alignment vertical="top" wrapText="1"/>
    </xf>
    <xf numFmtId="165" fontId="6" fillId="0" borderId="1" xfId="0" applyNumberFormat="1" applyFont="1" applyBorder="1" applyAlignment="1">
      <alignment vertical="top" wrapText="1"/>
    </xf>
    <xf numFmtId="164" fontId="6"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DDEBF7"/>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zoomScaleNormal="100" workbookViewId="0"/>
  </sheetViews>
  <sheetFormatPr baseColWidth="10" defaultColWidth="8.6640625" defaultRowHeight="15" x14ac:dyDescent="0.2"/>
  <cols>
    <col min="1" max="1" width="118" customWidth="1"/>
  </cols>
  <sheetData>
    <row r="1" spans="1:1" ht="20" x14ac:dyDescent="0.2">
      <c r="A1" s="1" t="s">
        <v>0</v>
      </c>
    </row>
    <row r="2" spans="1:1" x14ac:dyDescent="0.2">
      <c r="A2" s="2" t="s">
        <v>1</v>
      </c>
    </row>
    <row r="4" spans="1:1" ht="16" x14ac:dyDescent="0.2">
      <c r="A4" s="3" t="s">
        <v>2</v>
      </c>
    </row>
    <row r="5" spans="1:1" ht="28" x14ac:dyDescent="0.2">
      <c r="A5" s="4" t="s">
        <v>3</v>
      </c>
    </row>
    <row r="7" spans="1:1" ht="16" x14ac:dyDescent="0.2">
      <c r="A7" s="3" t="s">
        <v>4</v>
      </c>
    </row>
    <row r="8" spans="1:1" x14ac:dyDescent="0.2">
      <c r="A8" s="4" t="s">
        <v>5</v>
      </c>
    </row>
    <row r="9" spans="1:1" x14ac:dyDescent="0.2">
      <c r="A9" s="4" t="s">
        <v>6</v>
      </c>
    </row>
    <row r="10" spans="1:1" x14ac:dyDescent="0.2">
      <c r="A10" s="4" t="s">
        <v>7</v>
      </c>
    </row>
    <row r="11" spans="1:1" x14ac:dyDescent="0.2">
      <c r="A11" s="4" t="s">
        <v>8</v>
      </c>
    </row>
    <row r="13" spans="1:1" ht="16" x14ac:dyDescent="0.2">
      <c r="A13" s="3" t="s">
        <v>9</v>
      </c>
    </row>
    <row r="14" spans="1:1" ht="42" x14ac:dyDescent="0.2">
      <c r="A14" s="4" t="s">
        <v>10</v>
      </c>
    </row>
    <row r="15" spans="1:1" ht="28" x14ac:dyDescent="0.2">
      <c r="A15" s="4" t="s">
        <v>11</v>
      </c>
    </row>
    <row r="16" spans="1:1" ht="28" x14ac:dyDescent="0.2">
      <c r="A16" s="4" t="s">
        <v>12</v>
      </c>
    </row>
    <row r="17" spans="1:1" x14ac:dyDescent="0.2">
      <c r="A17" s="4" t="s">
        <v>13</v>
      </c>
    </row>
    <row r="18" spans="1:1" ht="28" x14ac:dyDescent="0.2">
      <c r="A18" s="4" t="s">
        <v>14</v>
      </c>
    </row>
    <row r="20" spans="1:1" ht="16" x14ac:dyDescent="0.2">
      <c r="A20" s="3" t="s">
        <v>15</v>
      </c>
    </row>
    <row r="21" spans="1:1" x14ac:dyDescent="0.2">
      <c r="A21" s="4" t="s">
        <v>16</v>
      </c>
    </row>
    <row r="22" spans="1:1" x14ac:dyDescent="0.2">
      <c r="A22" s="4" t="s">
        <v>17</v>
      </c>
    </row>
    <row r="23" spans="1:1" x14ac:dyDescent="0.2">
      <c r="A23" s="4" t="s">
        <v>18</v>
      </c>
    </row>
    <row r="24" spans="1:1" x14ac:dyDescent="0.2">
      <c r="A24" s="4" t="s">
        <v>19</v>
      </c>
    </row>
    <row r="25" spans="1:1" x14ac:dyDescent="0.2">
      <c r="A25" s="4" t="s">
        <v>20</v>
      </c>
    </row>
    <row r="26" spans="1:1" x14ac:dyDescent="0.2">
      <c r="A26" s="4" t="s">
        <v>21</v>
      </c>
    </row>
    <row r="27" spans="1:1" x14ac:dyDescent="0.2">
      <c r="A27" s="4" t="s">
        <v>22</v>
      </c>
    </row>
    <row r="28" spans="1:1" x14ac:dyDescent="0.2">
      <c r="A28" s="4" t="s">
        <v>23</v>
      </c>
    </row>
    <row r="29" spans="1:1" x14ac:dyDescent="0.2">
      <c r="A29" s="4" t="s">
        <v>24</v>
      </c>
    </row>
    <row r="31" spans="1:1" ht="16" x14ac:dyDescent="0.2">
      <c r="A31" s="3" t="s">
        <v>25</v>
      </c>
    </row>
    <row r="32" spans="1:1" ht="42" x14ac:dyDescent="0.2">
      <c r="A32" s="2" t="s">
        <v>26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3"/>
  <sheetViews>
    <sheetView tabSelected="1" zoomScaleNormal="100" workbookViewId="0">
      <pane ySplit="1" topLeftCell="A27" activePane="bottomLeft" state="frozen"/>
      <selection pane="bottomLeft"/>
    </sheetView>
  </sheetViews>
  <sheetFormatPr baseColWidth="10" defaultColWidth="8.6640625" defaultRowHeight="15" x14ac:dyDescent="0.2"/>
  <cols>
    <col min="1" max="1" width="9" customWidth="1"/>
    <col min="2" max="2" width="56" customWidth="1"/>
    <col min="3" max="3" width="10" customWidth="1"/>
    <col min="4" max="4" width="22" customWidth="1"/>
    <col min="5" max="5" width="10" customWidth="1"/>
    <col min="6" max="6" width="17" customWidth="1"/>
    <col min="7" max="7" width="14" customWidth="1"/>
    <col min="8" max="8" width="16" customWidth="1"/>
    <col min="9" max="10" width="13" customWidth="1"/>
    <col min="11" max="11" width="14" customWidth="1"/>
    <col min="12" max="12" width="46" customWidth="1"/>
  </cols>
  <sheetData>
    <row r="1" spans="1:12" ht="28" x14ac:dyDescent="0.2">
      <c r="A1" s="5" t="s">
        <v>27</v>
      </c>
      <c r="B1" s="5" t="s">
        <v>28</v>
      </c>
      <c r="C1" s="5" t="s">
        <v>29</v>
      </c>
      <c r="D1" s="5" t="s">
        <v>30</v>
      </c>
      <c r="E1" s="5" t="s">
        <v>31</v>
      </c>
      <c r="F1" s="5" t="s">
        <v>32</v>
      </c>
      <c r="G1" s="5" t="s">
        <v>33</v>
      </c>
      <c r="H1" s="5" t="s">
        <v>34</v>
      </c>
      <c r="I1" s="5" t="s">
        <v>35</v>
      </c>
      <c r="J1" s="5" t="s">
        <v>36</v>
      </c>
      <c r="K1" s="5" t="s">
        <v>37</v>
      </c>
      <c r="L1" s="5" t="s">
        <v>38</v>
      </c>
    </row>
    <row r="2" spans="1:12" x14ac:dyDescent="0.2">
      <c r="A2" s="6">
        <v>1</v>
      </c>
      <c r="B2" s="7" t="s">
        <v>39</v>
      </c>
      <c r="C2" s="6">
        <v>2</v>
      </c>
      <c r="D2" s="7" t="s">
        <v>40</v>
      </c>
      <c r="E2" s="6">
        <v>14</v>
      </c>
      <c r="F2" s="8">
        <v>33654</v>
      </c>
      <c r="G2" s="6">
        <v>7</v>
      </c>
      <c r="H2" s="8">
        <v>33755</v>
      </c>
      <c r="I2" s="9">
        <v>45358</v>
      </c>
      <c r="J2" s="9">
        <v>46225</v>
      </c>
      <c r="K2" s="10" t="s">
        <v>41</v>
      </c>
      <c r="L2" s="7"/>
    </row>
    <row r="3" spans="1:12" x14ac:dyDescent="0.2">
      <c r="A3" s="6">
        <v>2</v>
      </c>
      <c r="B3" s="7" t="s">
        <v>42</v>
      </c>
      <c r="C3" s="6">
        <v>2</v>
      </c>
      <c r="D3" s="7" t="s">
        <v>40</v>
      </c>
      <c r="E3" s="6">
        <v>14</v>
      </c>
      <c r="F3" s="8">
        <v>27452</v>
      </c>
      <c r="G3" s="6">
        <v>6</v>
      </c>
      <c r="H3" s="8">
        <v>23420</v>
      </c>
      <c r="I3" s="9">
        <v>45457</v>
      </c>
      <c r="J3" s="9">
        <v>46174</v>
      </c>
      <c r="K3" s="10" t="s">
        <v>41</v>
      </c>
      <c r="L3" s="7"/>
    </row>
    <row r="4" spans="1:12" x14ac:dyDescent="0.2">
      <c r="A4" s="6">
        <v>3</v>
      </c>
      <c r="B4" s="7" t="s">
        <v>43</v>
      </c>
      <c r="C4" s="6">
        <v>2</v>
      </c>
      <c r="D4" s="7" t="s">
        <v>40</v>
      </c>
      <c r="E4" s="6">
        <v>10</v>
      </c>
      <c r="F4" s="8">
        <v>24764</v>
      </c>
      <c r="G4" s="6">
        <v>3</v>
      </c>
      <c r="H4" s="8">
        <v>17075</v>
      </c>
      <c r="I4" s="9">
        <v>45479</v>
      </c>
      <c r="J4" s="9">
        <v>46207</v>
      </c>
      <c r="K4" s="10" t="s">
        <v>41</v>
      </c>
      <c r="L4" s="7"/>
    </row>
    <row r="5" spans="1:12" x14ac:dyDescent="0.2">
      <c r="A5" s="6">
        <v>4</v>
      </c>
      <c r="B5" s="7" t="s">
        <v>44</v>
      </c>
      <c r="C5" s="6">
        <v>2</v>
      </c>
      <c r="D5" s="7" t="s">
        <v>40</v>
      </c>
      <c r="E5" s="6">
        <v>8</v>
      </c>
      <c r="F5" s="8">
        <v>22874</v>
      </c>
      <c r="G5" s="6">
        <v>4</v>
      </c>
      <c r="H5" s="8">
        <v>22875</v>
      </c>
      <c r="I5" s="9">
        <v>45541</v>
      </c>
      <c r="J5" s="9">
        <v>45990</v>
      </c>
      <c r="K5" s="10" t="s">
        <v>41</v>
      </c>
      <c r="L5" s="7"/>
    </row>
    <row r="6" spans="1:12" x14ac:dyDescent="0.2">
      <c r="A6" s="6">
        <v>5</v>
      </c>
      <c r="B6" s="7" t="s">
        <v>45</v>
      </c>
      <c r="C6" s="6">
        <v>2</v>
      </c>
      <c r="D6" s="7" t="s">
        <v>40</v>
      </c>
      <c r="E6" s="6">
        <v>9</v>
      </c>
      <c r="F6" s="8">
        <v>21122</v>
      </c>
      <c r="G6" s="6">
        <v>1</v>
      </c>
      <c r="H6" s="8">
        <v>4800</v>
      </c>
      <c r="I6" s="9">
        <v>45355</v>
      </c>
      <c r="J6" s="9">
        <v>46221</v>
      </c>
      <c r="K6" s="11" t="s">
        <v>46</v>
      </c>
      <c r="L6" s="7" t="s">
        <v>47</v>
      </c>
    </row>
    <row r="7" spans="1:12" x14ac:dyDescent="0.2">
      <c r="A7" s="6">
        <v>6</v>
      </c>
      <c r="B7" s="7" t="s">
        <v>48</v>
      </c>
      <c r="C7" s="6">
        <v>2</v>
      </c>
      <c r="D7" s="7" t="s">
        <v>40</v>
      </c>
      <c r="E7" s="6">
        <v>6</v>
      </c>
      <c r="F7" s="8">
        <v>19380</v>
      </c>
      <c r="G7" s="6">
        <v>1</v>
      </c>
      <c r="H7" s="8">
        <v>7500</v>
      </c>
      <c r="I7" s="9">
        <v>45541</v>
      </c>
      <c r="J7" s="9">
        <v>46207</v>
      </c>
      <c r="K7" s="11" t="s">
        <v>46</v>
      </c>
      <c r="L7" s="7" t="s">
        <v>47</v>
      </c>
    </row>
    <row r="8" spans="1:12" x14ac:dyDescent="0.2">
      <c r="A8" s="6">
        <v>7</v>
      </c>
      <c r="B8" s="7" t="s">
        <v>49</v>
      </c>
      <c r="C8" s="6">
        <v>2</v>
      </c>
      <c r="D8" s="7" t="s">
        <v>40</v>
      </c>
      <c r="E8" s="6">
        <v>10</v>
      </c>
      <c r="F8" s="8">
        <v>18900</v>
      </c>
      <c r="G8" s="6">
        <v>5</v>
      </c>
      <c r="H8" s="8">
        <v>18900</v>
      </c>
      <c r="I8" s="9">
        <v>45366</v>
      </c>
      <c r="J8" s="9">
        <v>45802</v>
      </c>
      <c r="K8" s="10" t="s">
        <v>41</v>
      </c>
      <c r="L8" s="7"/>
    </row>
    <row r="9" spans="1:12" x14ac:dyDescent="0.2">
      <c r="A9" s="6">
        <v>8</v>
      </c>
      <c r="B9" s="7" t="s">
        <v>50</v>
      </c>
      <c r="C9" s="6">
        <v>2</v>
      </c>
      <c r="D9" s="7" t="s">
        <v>40</v>
      </c>
      <c r="E9" s="6">
        <v>4</v>
      </c>
      <c r="F9" s="8">
        <v>17474</v>
      </c>
      <c r="G9" s="6">
        <v>1</v>
      </c>
      <c r="H9" s="8">
        <v>7875</v>
      </c>
      <c r="I9" s="9">
        <v>45677</v>
      </c>
      <c r="J9" s="9">
        <v>46054</v>
      </c>
      <c r="K9" s="10" t="s">
        <v>41</v>
      </c>
      <c r="L9" s="7"/>
    </row>
    <row r="10" spans="1:12" x14ac:dyDescent="0.2">
      <c r="A10" s="6">
        <v>9</v>
      </c>
      <c r="B10" s="7" t="s">
        <v>51</v>
      </c>
      <c r="C10" s="6">
        <v>2</v>
      </c>
      <c r="D10" s="7" t="s">
        <v>40</v>
      </c>
      <c r="E10" s="6">
        <v>6</v>
      </c>
      <c r="F10" s="8">
        <v>17474</v>
      </c>
      <c r="G10" s="6">
        <v>3</v>
      </c>
      <c r="H10" s="8">
        <v>17475</v>
      </c>
      <c r="I10" s="9">
        <v>45591</v>
      </c>
      <c r="J10" s="9">
        <v>46031</v>
      </c>
      <c r="K10" s="10" t="s">
        <v>41</v>
      </c>
      <c r="L10" s="7"/>
    </row>
    <row r="11" spans="1:12" ht="28" x14ac:dyDescent="0.2">
      <c r="A11" s="6">
        <v>10</v>
      </c>
      <c r="B11" s="7" t="s">
        <v>52</v>
      </c>
      <c r="C11" s="6">
        <v>3</v>
      </c>
      <c r="D11" s="7" t="s">
        <v>40</v>
      </c>
      <c r="E11" s="6">
        <v>9</v>
      </c>
      <c r="F11" s="8">
        <v>14880</v>
      </c>
      <c r="G11" s="6">
        <v>3</v>
      </c>
      <c r="H11" s="8">
        <v>14880</v>
      </c>
      <c r="I11" s="9">
        <v>45448</v>
      </c>
      <c r="J11" s="9">
        <v>45731</v>
      </c>
      <c r="K11" s="10" t="s">
        <v>41</v>
      </c>
      <c r="L11" s="7" t="s">
        <v>53</v>
      </c>
    </row>
    <row r="12" spans="1:12" x14ac:dyDescent="0.2">
      <c r="A12" s="6">
        <v>11</v>
      </c>
      <c r="B12" s="7" t="s">
        <v>54</v>
      </c>
      <c r="C12" s="6">
        <v>2</v>
      </c>
      <c r="D12" s="7" t="s">
        <v>40</v>
      </c>
      <c r="E12" s="6">
        <v>6</v>
      </c>
      <c r="F12" s="8">
        <v>14640</v>
      </c>
      <c r="G12" s="6">
        <v>3</v>
      </c>
      <c r="H12" s="8">
        <v>14640</v>
      </c>
      <c r="I12" s="9">
        <v>45357</v>
      </c>
      <c r="J12" s="9">
        <v>45903</v>
      </c>
      <c r="K12" s="10" t="s">
        <v>41</v>
      </c>
      <c r="L12" s="7"/>
    </row>
    <row r="13" spans="1:12" x14ac:dyDescent="0.2">
      <c r="A13" s="6">
        <v>12</v>
      </c>
      <c r="B13" s="7" t="s">
        <v>55</v>
      </c>
      <c r="C13" s="6">
        <v>2</v>
      </c>
      <c r="D13" s="7" t="s">
        <v>40</v>
      </c>
      <c r="E13" s="6">
        <v>4</v>
      </c>
      <c r="F13" s="8">
        <v>12914</v>
      </c>
      <c r="G13" s="6">
        <v>1</v>
      </c>
      <c r="H13" s="8">
        <v>7875</v>
      </c>
      <c r="I13" s="9">
        <v>45667</v>
      </c>
      <c r="J13" s="9">
        <v>45948</v>
      </c>
      <c r="K13" s="10" t="s">
        <v>41</v>
      </c>
      <c r="L13" s="7"/>
    </row>
    <row r="14" spans="1:12" ht="28" x14ac:dyDescent="0.2">
      <c r="A14" s="6">
        <v>13</v>
      </c>
      <c r="B14" s="7" t="s">
        <v>56</v>
      </c>
      <c r="C14" s="6">
        <v>4</v>
      </c>
      <c r="D14" s="7" t="s">
        <v>57</v>
      </c>
      <c r="E14" s="6">
        <v>6</v>
      </c>
      <c r="F14" s="8">
        <v>12790</v>
      </c>
      <c r="G14" s="6">
        <v>1</v>
      </c>
      <c r="H14" s="8">
        <v>7540</v>
      </c>
      <c r="I14" s="9">
        <v>45916</v>
      </c>
      <c r="J14" s="9">
        <v>46045</v>
      </c>
      <c r="K14" s="10" t="s">
        <v>41</v>
      </c>
      <c r="L14" s="7" t="s">
        <v>58</v>
      </c>
    </row>
    <row r="15" spans="1:12" x14ac:dyDescent="0.2">
      <c r="A15" s="6">
        <v>14</v>
      </c>
      <c r="B15" s="7" t="s">
        <v>59</v>
      </c>
      <c r="C15" s="6">
        <v>2</v>
      </c>
      <c r="D15" s="7" t="s">
        <v>40</v>
      </c>
      <c r="E15" s="6">
        <v>4</v>
      </c>
      <c r="F15" s="8">
        <v>12160</v>
      </c>
      <c r="G15" s="6">
        <v>2</v>
      </c>
      <c r="H15" s="8">
        <v>12160</v>
      </c>
      <c r="I15" s="9">
        <v>45480</v>
      </c>
      <c r="J15" s="9">
        <v>45812</v>
      </c>
      <c r="K15" s="10" t="s">
        <v>41</v>
      </c>
      <c r="L15" s="7"/>
    </row>
    <row r="16" spans="1:12" x14ac:dyDescent="0.2">
      <c r="A16" s="6">
        <v>15</v>
      </c>
      <c r="B16" s="7" t="s">
        <v>60</v>
      </c>
      <c r="C16" s="6">
        <v>2</v>
      </c>
      <c r="D16" s="7" t="s">
        <v>40</v>
      </c>
      <c r="E16" s="6">
        <v>6</v>
      </c>
      <c r="F16" s="8">
        <v>11340</v>
      </c>
      <c r="G16" s="6">
        <v>2</v>
      </c>
      <c r="H16" s="8">
        <v>6300</v>
      </c>
      <c r="I16" s="9">
        <v>46032</v>
      </c>
      <c r="J16" s="9">
        <v>46201</v>
      </c>
      <c r="K16" s="10" t="s">
        <v>41</v>
      </c>
      <c r="L16" s="7"/>
    </row>
    <row r="17" spans="1:12" x14ac:dyDescent="0.2">
      <c r="A17" s="6">
        <v>16</v>
      </c>
      <c r="B17" s="7" t="s">
        <v>61</v>
      </c>
      <c r="C17" s="6">
        <v>2</v>
      </c>
      <c r="D17" s="7" t="s">
        <v>57</v>
      </c>
      <c r="E17" s="6">
        <v>4</v>
      </c>
      <c r="F17" s="8">
        <v>10754</v>
      </c>
      <c r="G17" s="6">
        <v>1</v>
      </c>
      <c r="H17" s="8">
        <v>2880</v>
      </c>
      <c r="I17" s="9">
        <v>45929</v>
      </c>
      <c r="J17" s="9">
        <v>46065</v>
      </c>
      <c r="K17" s="10" t="s">
        <v>41</v>
      </c>
      <c r="L17" s="7"/>
    </row>
    <row r="18" spans="1:12" x14ac:dyDescent="0.2">
      <c r="A18" s="6">
        <v>17</v>
      </c>
      <c r="B18" s="7" t="s">
        <v>62</v>
      </c>
      <c r="C18" s="6">
        <v>2</v>
      </c>
      <c r="D18" s="7" t="s">
        <v>40</v>
      </c>
      <c r="E18" s="6">
        <v>3</v>
      </c>
      <c r="F18" s="8">
        <v>9600</v>
      </c>
      <c r="G18" s="6">
        <v>1</v>
      </c>
      <c r="H18" s="8">
        <v>4800</v>
      </c>
      <c r="I18" s="9">
        <v>45514</v>
      </c>
      <c r="J18" s="9">
        <v>45773</v>
      </c>
      <c r="K18" s="10" t="s">
        <v>41</v>
      </c>
      <c r="L18" s="7"/>
    </row>
    <row r="19" spans="1:12" x14ac:dyDescent="0.2">
      <c r="A19" s="6">
        <v>18</v>
      </c>
      <c r="B19" s="7" t="s">
        <v>63</v>
      </c>
      <c r="C19" s="6">
        <v>2</v>
      </c>
      <c r="D19" s="7" t="s">
        <v>40</v>
      </c>
      <c r="E19" s="6">
        <v>6</v>
      </c>
      <c r="F19" s="8">
        <v>9480</v>
      </c>
      <c r="G19" s="6">
        <v>2</v>
      </c>
      <c r="H19" s="8">
        <v>9360</v>
      </c>
      <c r="I19" s="9">
        <v>45413</v>
      </c>
      <c r="J19" s="9">
        <v>45696</v>
      </c>
      <c r="K19" s="10" t="s">
        <v>41</v>
      </c>
      <c r="L19" s="7"/>
    </row>
    <row r="20" spans="1:12" x14ac:dyDescent="0.2">
      <c r="A20" s="6">
        <v>19</v>
      </c>
      <c r="B20" s="7" t="s">
        <v>64</v>
      </c>
      <c r="C20" s="6">
        <v>2</v>
      </c>
      <c r="D20" s="7" t="s">
        <v>57</v>
      </c>
      <c r="E20" s="6">
        <v>4</v>
      </c>
      <c r="F20" s="8">
        <v>9072</v>
      </c>
      <c r="G20" s="6">
        <v>2</v>
      </c>
      <c r="H20" s="8">
        <v>9072</v>
      </c>
      <c r="I20" s="9">
        <v>46006</v>
      </c>
      <c r="J20" s="9">
        <v>46098</v>
      </c>
      <c r="K20" s="10" t="s">
        <v>41</v>
      </c>
      <c r="L20" s="7"/>
    </row>
    <row r="21" spans="1:12" x14ac:dyDescent="0.2">
      <c r="A21" s="6">
        <v>20</v>
      </c>
      <c r="B21" s="7" t="s">
        <v>65</v>
      </c>
      <c r="C21" s="6">
        <v>2</v>
      </c>
      <c r="D21" s="7" t="s">
        <v>40</v>
      </c>
      <c r="E21" s="6">
        <v>4</v>
      </c>
      <c r="F21" s="8">
        <v>8442</v>
      </c>
      <c r="G21" s="6">
        <v>1</v>
      </c>
      <c r="H21" s="8">
        <v>5040</v>
      </c>
      <c r="I21" s="9">
        <v>45957</v>
      </c>
      <c r="J21" s="9">
        <v>46073</v>
      </c>
      <c r="K21" s="10" t="s">
        <v>41</v>
      </c>
      <c r="L21" s="7"/>
    </row>
    <row r="22" spans="1:12" x14ac:dyDescent="0.2">
      <c r="A22" s="6">
        <v>21</v>
      </c>
      <c r="B22" s="7" t="s">
        <v>66</v>
      </c>
      <c r="C22" s="6">
        <v>2</v>
      </c>
      <c r="D22" s="7" t="s">
        <v>40</v>
      </c>
      <c r="E22" s="6">
        <v>2</v>
      </c>
      <c r="F22" s="8">
        <v>7874</v>
      </c>
      <c r="G22" s="6">
        <v>1</v>
      </c>
      <c r="H22" s="8">
        <v>7875</v>
      </c>
      <c r="I22" s="9">
        <v>45977</v>
      </c>
      <c r="J22" s="9">
        <v>45977</v>
      </c>
      <c r="K22" s="10" t="s">
        <v>41</v>
      </c>
      <c r="L22" s="7"/>
    </row>
    <row r="23" spans="1:12" x14ac:dyDescent="0.2">
      <c r="A23" s="6">
        <v>22</v>
      </c>
      <c r="B23" s="7" t="s">
        <v>67</v>
      </c>
      <c r="C23" s="6">
        <v>2</v>
      </c>
      <c r="D23" s="7" t="s">
        <v>40</v>
      </c>
      <c r="E23" s="6">
        <v>4</v>
      </c>
      <c r="F23" s="8">
        <v>7680</v>
      </c>
      <c r="G23" s="6">
        <v>2</v>
      </c>
      <c r="H23" s="8">
        <v>7680</v>
      </c>
      <c r="I23" s="9">
        <v>45843</v>
      </c>
      <c r="J23" s="9">
        <v>46168</v>
      </c>
      <c r="K23" s="11" t="s">
        <v>46</v>
      </c>
      <c r="L23" s="7" t="s">
        <v>47</v>
      </c>
    </row>
    <row r="24" spans="1:12" x14ac:dyDescent="0.2">
      <c r="A24" s="6">
        <v>23</v>
      </c>
      <c r="B24" s="7" t="s">
        <v>68</v>
      </c>
      <c r="C24" s="6">
        <v>2</v>
      </c>
      <c r="D24" s="7" t="s">
        <v>57</v>
      </c>
      <c r="E24" s="6">
        <v>4</v>
      </c>
      <c r="F24" s="8">
        <v>7516</v>
      </c>
      <c r="G24" s="6">
        <v>1</v>
      </c>
      <c r="H24" s="8">
        <v>4636</v>
      </c>
      <c r="I24" s="9">
        <v>45921</v>
      </c>
      <c r="J24" s="9">
        <v>45998</v>
      </c>
      <c r="K24" s="10" t="s">
        <v>41</v>
      </c>
      <c r="L24" s="7"/>
    </row>
    <row r="25" spans="1:12" x14ac:dyDescent="0.2">
      <c r="A25" s="6">
        <v>24</v>
      </c>
      <c r="B25" s="7" t="s">
        <v>69</v>
      </c>
      <c r="C25" s="6">
        <v>2</v>
      </c>
      <c r="D25" s="7" t="s">
        <v>40</v>
      </c>
      <c r="E25" s="6">
        <v>5</v>
      </c>
      <c r="F25" s="8">
        <v>7440</v>
      </c>
      <c r="G25" s="6">
        <v>1</v>
      </c>
      <c r="H25" s="8">
        <v>2520</v>
      </c>
      <c r="I25" s="9">
        <v>45499</v>
      </c>
      <c r="J25" s="9">
        <v>45718</v>
      </c>
      <c r="K25" s="10" t="s">
        <v>41</v>
      </c>
      <c r="L25" s="7"/>
    </row>
    <row r="26" spans="1:12" x14ac:dyDescent="0.2">
      <c r="A26" s="6">
        <v>25</v>
      </c>
      <c r="B26" s="7" t="s">
        <v>70</v>
      </c>
      <c r="C26" s="6">
        <v>2</v>
      </c>
      <c r="D26" s="7" t="s">
        <v>40</v>
      </c>
      <c r="E26" s="6">
        <v>2</v>
      </c>
      <c r="F26" s="8">
        <v>7350</v>
      </c>
      <c r="G26" s="6">
        <v>1</v>
      </c>
      <c r="H26" s="8">
        <v>7350</v>
      </c>
      <c r="I26" s="9">
        <v>46015</v>
      </c>
      <c r="J26" s="9">
        <v>46015</v>
      </c>
      <c r="K26" s="10" t="s">
        <v>41</v>
      </c>
      <c r="L26" s="7"/>
    </row>
    <row r="27" spans="1:12" x14ac:dyDescent="0.2">
      <c r="A27" s="6">
        <v>26</v>
      </c>
      <c r="B27" s="7" t="s">
        <v>71</v>
      </c>
      <c r="C27" s="6">
        <v>2</v>
      </c>
      <c r="D27" s="7" t="s">
        <v>40</v>
      </c>
      <c r="E27" s="6">
        <v>4</v>
      </c>
      <c r="F27" s="8">
        <v>7308</v>
      </c>
      <c r="G27" s="6">
        <v>1</v>
      </c>
      <c r="H27" s="8">
        <v>4158</v>
      </c>
      <c r="I27" s="9">
        <v>46075</v>
      </c>
      <c r="J27" s="9">
        <v>46179</v>
      </c>
      <c r="K27" s="10" t="s">
        <v>41</v>
      </c>
      <c r="L27" s="7"/>
    </row>
    <row r="28" spans="1:12" x14ac:dyDescent="0.2">
      <c r="A28" s="6">
        <v>27</v>
      </c>
      <c r="B28" s="7" t="s">
        <v>72</v>
      </c>
      <c r="C28" s="6">
        <v>2</v>
      </c>
      <c r="D28" s="7" t="s">
        <v>40</v>
      </c>
      <c r="E28" s="6">
        <v>4</v>
      </c>
      <c r="F28" s="8">
        <v>7200</v>
      </c>
      <c r="G28" s="6">
        <v>1</v>
      </c>
      <c r="H28" s="8">
        <v>3960</v>
      </c>
      <c r="I28" s="9">
        <v>45409</v>
      </c>
      <c r="J28" s="9">
        <v>45724</v>
      </c>
      <c r="K28" s="10" t="s">
        <v>41</v>
      </c>
      <c r="L28" s="7"/>
    </row>
    <row r="29" spans="1:12" x14ac:dyDescent="0.2">
      <c r="A29" s="6">
        <v>28</v>
      </c>
      <c r="B29" s="7" t="s">
        <v>73</v>
      </c>
      <c r="C29" s="6">
        <v>2</v>
      </c>
      <c r="D29" s="7" t="s">
        <v>57</v>
      </c>
      <c r="E29" s="6">
        <v>4</v>
      </c>
      <c r="F29" s="8">
        <v>7119</v>
      </c>
      <c r="G29" s="6">
        <v>2</v>
      </c>
      <c r="H29" s="8">
        <v>7119</v>
      </c>
      <c r="I29" s="9">
        <v>46050</v>
      </c>
      <c r="J29" s="9">
        <v>46125</v>
      </c>
      <c r="K29" s="10" t="s">
        <v>41</v>
      </c>
      <c r="L29" s="7"/>
    </row>
    <row r="30" spans="1:12" x14ac:dyDescent="0.2">
      <c r="A30" s="6">
        <v>29</v>
      </c>
      <c r="B30" s="7" t="s">
        <v>74</v>
      </c>
      <c r="C30" s="6">
        <v>3</v>
      </c>
      <c r="D30" s="7" t="s">
        <v>40</v>
      </c>
      <c r="E30" s="6">
        <v>4</v>
      </c>
      <c r="F30" s="8">
        <v>6903.9</v>
      </c>
      <c r="G30" s="6">
        <v>1</v>
      </c>
      <c r="H30" s="8">
        <v>4636</v>
      </c>
      <c r="I30" s="9">
        <v>45906</v>
      </c>
      <c r="J30" s="9">
        <v>46061</v>
      </c>
      <c r="K30" s="10" t="s">
        <v>41</v>
      </c>
      <c r="L30" s="7" t="s">
        <v>53</v>
      </c>
    </row>
    <row r="31" spans="1:12" x14ac:dyDescent="0.2">
      <c r="A31" s="6">
        <v>30</v>
      </c>
      <c r="B31" s="7" t="s">
        <v>75</v>
      </c>
      <c r="C31" s="6">
        <v>2</v>
      </c>
      <c r="D31" s="7" t="s">
        <v>57</v>
      </c>
      <c r="E31" s="6">
        <v>2</v>
      </c>
      <c r="F31" s="8">
        <v>6824</v>
      </c>
      <c r="G31" s="6">
        <v>1</v>
      </c>
      <c r="H31" s="8">
        <v>6825</v>
      </c>
      <c r="I31" s="9">
        <v>46007</v>
      </c>
      <c r="J31" s="9">
        <v>46007</v>
      </c>
      <c r="K31" s="10" t="s">
        <v>41</v>
      </c>
      <c r="L31" s="7"/>
    </row>
    <row r="32" spans="1:12" x14ac:dyDescent="0.2">
      <c r="A32" s="6">
        <v>31</v>
      </c>
      <c r="B32" s="7" t="s">
        <v>76</v>
      </c>
      <c r="C32" s="6">
        <v>2</v>
      </c>
      <c r="D32" s="7" t="s">
        <v>77</v>
      </c>
      <c r="E32" s="6">
        <v>7</v>
      </c>
      <c r="F32" s="8">
        <v>6780</v>
      </c>
      <c r="G32" s="6">
        <v>3</v>
      </c>
      <c r="H32" s="8">
        <v>6240</v>
      </c>
      <c r="I32" s="9">
        <v>45517</v>
      </c>
      <c r="J32" s="9">
        <v>45804</v>
      </c>
      <c r="K32" s="10" t="s">
        <v>41</v>
      </c>
      <c r="L32" s="7" t="s">
        <v>78</v>
      </c>
    </row>
    <row r="33" spans="1:12" x14ac:dyDescent="0.2">
      <c r="A33" s="6">
        <v>32</v>
      </c>
      <c r="B33" s="7" t="s">
        <v>79</v>
      </c>
      <c r="C33" s="6">
        <v>2</v>
      </c>
      <c r="D33" s="7" t="s">
        <v>57</v>
      </c>
      <c r="E33" s="6">
        <v>4</v>
      </c>
      <c r="F33" s="8">
        <v>6720</v>
      </c>
      <c r="G33" s="6">
        <v>2</v>
      </c>
      <c r="H33" s="8">
        <v>6720</v>
      </c>
      <c r="I33" s="9">
        <v>45760</v>
      </c>
      <c r="J33" s="9">
        <v>45896</v>
      </c>
      <c r="K33" s="10" t="s">
        <v>41</v>
      </c>
      <c r="L33" s="7"/>
    </row>
    <row r="34" spans="1:12" x14ac:dyDescent="0.2">
      <c r="A34" s="6">
        <v>33</v>
      </c>
      <c r="B34" s="7" t="s">
        <v>80</v>
      </c>
      <c r="C34" s="6">
        <v>2</v>
      </c>
      <c r="D34" s="7" t="s">
        <v>40</v>
      </c>
      <c r="E34" s="6">
        <v>6</v>
      </c>
      <c r="F34" s="8">
        <v>6136</v>
      </c>
      <c r="G34" s="6">
        <v>1</v>
      </c>
      <c r="H34" s="8">
        <v>2246</v>
      </c>
      <c r="I34" s="9">
        <v>45815</v>
      </c>
      <c r="J34" s="9">
        <v>45996</v>
      </c>
      <c r="K34" s="11" t="s">
        <v>46</v>
      </c>
      <c r="L34" s="7" t="s">
        <v>47</v>
      </c>
    </row>
    <row r="35" spans="1:12" x14ac:dyDescent="0.2">
      <c r="A35" s="6">
        <v>34</v>
      </c>
      <c r="B35" s="7" t="s">
        <v>81</v>
      </c>
      <c r="C35" s="6">
        <v>2</v>
      </c>
      <c r="D35" s="7" t="s">
        <v>40</v>
      </c>
      <c r="E35" s="6">
        <v>4</v>
      </c>
      <c r="F35" s="8">
        <v>6090</v>
      </c>
      <c r="G35" s="6">
        <v>2</v>
      </c>
      <c r="H35" s="8">
        <v>6090</v>
      </c>
      <c r="I35" s="9">
        <v>45748</v>
      </c>
      <c r="J35" s="9">
        <v>45839</v>
      </c>
      <c r="K35" s="10" t="s">
        <v>41</v>
      </c>
      <c r="L35" s="7"/>
    </row>
    <row r="36" spans="1:12" x14ac:dyDescent="0.2">
      <c r="A36" s="6">
        <v>35</v>
      </c>
      <c r="B36" s="7" t="s">
        <v>82</v>
      </c>
      <c r="C36" s="6">
        <v>2</v>
      </c>
      <c r="D36" s="7" t="s">
        <v>57</v>
      </c>
      <c r="E36" s="6">
        <v>6</v>
      </c>
      <c r="F36" s="8">
        <v>5940</v>
      </c>
      <c r="G36" s="6">
        <v>1</v>
      </c>
      <c r="H36" s="8">
        <v>2400</v>
      </c>
      <c r="I36" s="9">
        <v>45766</v>
      </c>
      <c r="J36" s="9">
        <v>46032</v>
      </c>
      <c r="K36" s="11" t="s">
        <v>46</v>
      </c>
      <c r="L36" s="7" t="s">
        <v>47</v>
      </c>
    </row>
    <row r="37" spans="1:12" x14ac:dyDescent="0.2">
      <c r="A37" s="6">
        <v>36</v>
      </c>
      <c r="B37" s="7" t="s">
        <v>83</v>
      </c>
      <c r="C37" s="6">
        <v>2</v>
      </c>
      <c r="D37" s="7" t="s">
        <v>40</v>
      </c>
      <c r="E37" s="6">
        <v>3</v>
      </c>
      <c r="F37" s="8">
        <v>5922</v>
      </c>
      <c r="G37" s="6">
        <v>1</v>
      </c>
      <c r="H37" s="8">
        <v>4158</v>
      </c>
      <c r="I37" s="9">
        <v>46132</v>
      </c>
      <c r="J37" s="9">
        <v>46210</v>
      </c>
      <c r="K37" s="10" t="s">
        <v>41</v>
      </c>
      <c r="L37" s="7"/>
    </row>
    <row r="38" spans="1:12" x14ac:dyDescent="0.2">
      <c r="A38" s="6">
        <v>37</v>
      </c>
      <c r="B38" s="7" t="s">
        <v>84</v>
      </c>
      <c r="C38" s="6">
        <v>2</v>
      </c>
      <c r="D38" s="7" t="s">
        <v>57</v>
      </c>
      <c r="E38" s="6">
        <v>4</v>
      </c>
      <c r="F38" s="8">
        <v>5704</v>
      </c>
      <c r="G38" s="6">
        <v>1</v>
      </c>
      <c r="H38" s="8">
        <v>3024</v>
      </c>
      <c r="I38" s="9">
        <v>46078</v>
      </c>
      <c r="J38" s="9">
        <v>46219</v>
      </c>
      <c r="K38" s="10" t="s">
        <v>41</v>
      </c>
      <c r="L38" s="7"/>
    </row>
    <row r="39" spans="1:12" ht="28" x14ac:dyDescent="0.2">
      <c r="A39" s="6">
        <v>38</v>
      </c>
      <c r="B39" s="7" t="s">
        <v>85</v>
      </c>
      <c r="C39" s="6">
        <v>4</v>
      </c>
      <c r="D39" s="7" t="s">
        <v>86</v>
      </c>
      <c r="E39" s="6">
        <v>4</v>
      </c>
      <c r="F39" s="8">
        <v>5676</v>
      </c>
      <c r="G39" s="6">
        <v>1</v>
      </c>
      <c r="H39" s="8">
        <v>5355</v>
      </c>
      <c r="I39" s="9">
        <v>46227</v>
      </c>
      <c r="J39" s="9">
        <v>46232</v>
      </c>
      <c r="K39" s="10" t="s">
        <v>41</v>
      </c>
      <c r="L39" s="7" t="s">
        <v>87</v>
      </c>
    </row>
    <row r="40" spans="1:12" x14ac:dyDescent="0.2">
      <c r="A40" s="6">
        <v>39</v>
      </c>
      <c r="B40" s="7" t="s">
        <v>88</v>
      </c>
      <c r="C40" s="6">
        <v>2</v>
      </c>
      <c r="D40" s="7" t="s">
        <v>40</v>
      </c>
      <c r="E40" s="6">
        <v>3</v>
      </c>
      <c r="F40" s="8">
        <v>5572</v>
      </c>
      <c r="G40" s="6">
        <v>1</v>
      </c>
      <c r="H40" s="8">
        <v>2880</v>
      </c>
      <c r="I40" s="9">
        <v>45834</v>
      </c>
      <c r="J40" s="9">
        <v>46124</v>
      </c>
      <c r="K40" s="10" t="s">
        <v>41</v>
      </c>
      <c r="L40" s="7"/>
    </row>
    <row r="41" spans="1:12" x14ac:dyDescent="0.2">
      <c r="A41" s="6">
        <v>40</v>
      </c>
      <c r="B41" s="7" t="s">
        <v>89</v>
      </c>
      <c r="C41" s="6">
        <v>2</v>
      </c>
      <c r="D41" s="7" t="s">
        <v>40</v>
      </c>
      <c r="E41" s="6">
        <v>2</v>
      </c>
      <c r="F41" s="8">
        <v>5355</v>
      </c>
      <c r="G41" s="6">
        <v>1</v>
      </c>
      <c r="H41" s="8">
        <v>5355</v>
      </c>
      <c r="I41" s="9">
        <v>46172</v>
      </c>
      <c r="J41" s="9">
        <v>46173</v>
      </c>
      <c r="K41" s="10" t="s">
        <v>41</v>
      </c>
      <c r="L41" s="7"/>
    </row>
    <row r="42" spans="1:12" x14ac:dyDescent="0.2">
      <c r="A42" s="6">
        <v>41</v>
      </c>
      <c r="B42" s="7" t="s">
        <v>90</v>
      </c>
      <c r="C42" s="6">
        <v>2</v>
      </c>
      <c r="D42" s="7" t="s">
        <v>40</v>
      </c>
      <c r="E42" s="6">
        <v>2</v>
      </c>
      <c r="F42" s="8">
        <v>5354</v>
      </c>
      <c r="G42" s="6">
        <v>1</v>
      </c>
      <c r="H42" s="8">
        <v>5355</v>
      </c>
      <c r="I42" s="9">
        <v>46047</v>
      </c>
      <c r="J42" s="9">
        <v>46047</v>
      </c>
      <c r="K42" s="10" t="s">
        <v>41</v>
      </c>
      <c r="L42" s="7"/>
    </row>
    <row r="43" spans="1:12" x14ac:dyDescent="0.2">
      <c r="A43" s="6">
        <v>42</v>
      </c>
      <c r="B43" s="7" t="s">
        <v>91</v>
      </c>
      <c r="C43" s="6">
        <v>2</v>
      </c>
      <c r="D43" s="7" t="s">
        <v>57</v>
      </c>
      <c r="E43" s="6">
        <v>2</v>
      </c>
      <c r="F43" s="8">
        <v>5250</v>
      </c>
      <c r="G43" s="6">
        <v>1</v>
      </c>
      <c r="H43" s="8">
        <v>5250</v>
      </c>
      <c r="I43" s="9">
        <v>46031</v>
      </c>
      <c r="J43" s="9">
        <v>46031</v>
      </c>
      <c r="K43" s="11" t="s">
        <v>46</v>
      </c>
      <c r="L43" s="7" t="s">
        <v>47</v>
      </c>
    </row>
    <row r="44" spans="1:12" x14ac:dyDescent="0.2">
      <c r="A44" s="6">
        <v>43</v>
      </c>
      <c r="B44" s="7" t="s">
        <v>92</v>
      </c>
      <c r="C44" s="6">
        <v>2</v>
      </c>
      <c r="D44" s="7" t="s">
        <v>40</v>
      </c>
      <c r="E44" s="6">
        <v>8</v>
      </c>
      <c r="F44" s="8">
        <v>5220</v>
      </c>
      <c r="G44" s="6">
        <v>1</v>
      </c>
      <c r="H44" s="8">
        <v>2200</v>
      </c>
      <c r="I44" s="9">
        <v>45819</v>
      </c>
      <c r="J44" s="9">
        <v>46174</v>
      </c>
      <c r="K44" s="11" t="s">
        <v>46</v>
      </c>
      <c r="L44" s="7" t="s">
        <v>47</v>
      </c>
    </row>
    <row r="45" spans="1:12" x14ac:dyDescent="0.2">
      <c r="A45" s="6">
        <v>44</v>
      </c>
      <c r="B45" s="7" t="s">
        <v>93</v>
      </c>
      <c r="C45" s="6">
        <v>2</v>
      </c>
      <c r="D45" s="7" t="s">
        <v>40</v>
      </c>
      <c r="E45" s="6">
        <v>2</v>
      </c>
      <c r="F45" s="8">
        <v>5040</v>
      </c>
      <c r="G45" s="6">
        <v>1</v>
      </c>
      <c r="H45" s="8">
        <v>5040</v>
      </c>
      <c r="I45" s="9">
        <v>46211</v>
      </c>
      <c r="J45" s="9">
        <v>46212</v>
      </c>
      <c r="K45" s="10" t="s">
        <v>41</v>
      </c>
      <c r="L45" s="7"/>
    </row>
    <row r="46" spans="1:12" x14ac:dyDescent="0.2">
      <c r="A46" s="6">
        <v>45</v>
      </c>
      <c r="B46" s="7" t="s">
        <v>94</v>
      </c>
      <c r="C46" s="6">
        <v>2</v>
      </c>
      <c r="D46" s="7" t="s">
        <v>57</v>
      </c>
      <c r="E46" s="6">
        <v>4</v>
      </c>
      <c r="F46" s="8">
        <v>4970</v>
      </c>
      <c r="G46" s="6">
        <v>1</v>
      </c>
      <c r="H46" s="8">
        <v>1050</v>
      </c>
      <c r="I46" s="9">
        <v>46034</v>
      </c>
      <c r="J46" s="9">
        <v>46184</v>
      </c>
      <c r="K46" s="10" t="s">
        <v>41</v>
      </c>
      <c r="L46" s="7"/>
    </row>
    <row r="47" spans="1:12" x14ac:dyDescent="0.2">
      <c r="A47" s="6">
        <v>46</v>
      </c>
      <c r="B47" s="7" t="s">
        <v>95</v>
      </c>
      <c r="C47" s="6">
        <v>2</v>
      </c>
      <c r="D47" s="7" t="s">
        <v>40</v>
      </c>
      <c r="E47" s="6">
        <v>2</v>
      </c>
      <c r="F47" s="8">
        <v>4800</v>
      </c>
      <c r="G47" s="6">
        <v>1</v>
      </c>
      <c r="H47" s="8">
        <v>4800</v>
      </c>
      <c r="I47" s="9">
        <v>45959</v>
      </c>
      <c r="J47" s="9">
        <v>45959</v>
      </c>
      <c r="K47" s="10" t="s">
        <v>41</v>
      </c>
      <c r="L47" s="7"/>
    </row>
    <row r="48" spans="1:12" x14ac:dyDescent="0.2">
      <c r="A48" s="6">
        <v>47</v>
      </c>
      <c r="B48" s="7" t="s">
        <v>96</v>
      </c>
      <c r="C48" s="6">
        <v>2</v>
      </c>
      <c r="D48" s="7" t="s">
        <v>40</v>
      </c>
      <c r="E48" s="6">
        <v>2</v>
      </c>
      <c r="F48" s="8">
        <v>4800</v>
      </c>
      <c r="G48" s="6">
        <v>1</v>
      </c>
      <c r="H48" s="8">
        <v>4800</v>
      </c>
      <c r="I48" s="9">
        <v>45375</v>
      </c>
      <c r="J48" s="9">
        <v>45375</v>
      </c>
      <c r="K48" s="10" t="s">
        <v>41</v>
      </c>
      <c r="L48" s="7"/>
    </row>
    <row r="49" spans="1:12" x14ac:dyDescent="0.2">
      <c r="A49" s="6">
        <v>48</v>
      </c>
      <c r="B49" s="7" t="s">
        <v>97</v>
      </c>
      <c r="C49" s="6">
        <v>2</v>
      </c>
      <c r="D49" s="7" t="s">
        <v>40</v>
      </c>
      <c r="E49" s="6">
        <v>2</v>
      </c>
      <c r="F49" s="8">
        <v>4725</v>
      </c>
      <c r="G49" s="6">
        <v>1</v>
      </c>
      <c r="H49" s="8">
        <v>4725</v>
      </c>
      <c r="I49" s="9">
        <v>46225</v>
      </c>
      <c r="J49" s="9">
        <v>46225</v>
      </c>
      <c r="K49" s="11" t="s">
        <v>46</v>
      </c>
      <c r="L49" s="7" t="s">
        <v>47</v>
      </c>
    </row>
    <row r="50" spans="1:12" x14ac:dyDescent="0.2">
      <c r="A50" s="6">
        <v>49</v>
      </c>
      <c r="B50" s="7" t="s">
        <v>98</v>
      </c>
      <c r="C50" s="6">
        <v>2</v>
      </c>
      <c r="D50" s="7" t="s">
        <v>40</v>
      </c>
      <c r="E50" s="6">
        <v>2</v>
      </c>
      <c r="F50" s="8">
        <v>4636</v>
      </c>
      <c r="G50" s="6">
        <v>1</v>
      </c>
      <c r="H50" s="8">
        <v>4636</v>
      </c>
      <c r="I50" s="9">
        <v>46004</v>
      </c>
      <c r="J50" s="9">
        <v>46004</v>
      </c>
      <c r="K50" s="11" t="s">
        <v>46</v>
      </c>
      <c r="L50" s="7" t="s">
        <v>47</v>
      </c>
    </row>
    <row r="51" spans="1:12" x14ac:dyDescent="0.2">
      <c r="A51" s="6">
        <v>50</v>
      </c>
      <c r="B51" s="7" t="s">
        <v>99</v>
      </c>
      <c r="C51" s="6">
        <v>2</v>
      </c>
      <c r="D51" s="7" t="s">
        <v>40</v>
      </c>
      <c r="E51" s="6">
        <v>2</v>
      </c>
      <c r="F51" s="8">
        <v>3840</v>
      </c>
      <c r="G51" s="6">
        <v>1</v>
      </c>
      <c r="H51" s="8">
        <v>3840</v>
      </c>
      <c r="I51" s="9">
        <v>45760</v>
      </c>
      <c r="J51" s="9">
        <v>45760</v>
      </c>
      <c r="K51" s="10" t="s">
        <v>41</v>
      </c>
      <c r="L51" s="7"/>
    </row>
    <row r="52" spans="1:12" x14ac:dyDescent="0.2">
      <c r="A52" s="6">
        <v>51</v>
      </c>
      <c r="B52" s="7" t="s">
        <v>100</v>
      </c>
      <c r="C52" s="6">
        <v>2</v>
      </c>
      <c r="D52" s="7" t="s">
        <v>40</v>
      </c>
      <c r="E52" s="6">
        <v>2</v>
      </c>
      <c r="F52" s="8">
        <v>3700</v>
      </c>
      <c r="G52" s="6">
        <v>1</v>
      </c>
      <c r="H52" s="8">
        <v>3700</v>
      </c>
      <c r="I52" s="9">
        <v>45573</v>
      </c>
      <c r="J52" s="9">
        <v>45573</v>
      </c>
      <c r="K52" s="10" t="s">
        <v>41</v>
      </c>
      <c r="L52" s="7"/>
    </row>
    <row r="53" spans="1:12" x14ac:dyDescent="0.2">
      <c r="A53" s="6">
        <v>52</v>
      </c>
      <c r="B53" s="7" t="s">
        <v>101</v>
      </c>
      <c r="C53" s="6">
        <v>2</v>
      </c>
      <c r="D53" s="7" t="s">
        <v>40</v>
      </c>
      <c r="E53" s="6">
        <v>2</v>
      </c>
      <c r="F53" s="8">
        <v>3528</v>
      </c>
      <c r="G53" s="6">
        <v>1</v>
      </c>
      <c r="H53" s="8">
        <v>3528</v>
      </c>
      <c r="I53" s="9">
        <v>46139</v>
      </c>
      <c r="J53" s="9">
        <v>46139</v>
      </c>
      <c r="K53" s="10" t="s">
        <v>41</v>
      </c>
      <c r="L53" s="7"/>
    </row>
    <row r="54" spans="1:12" x14ac:dyDescent="0.2">
      <c r="A54" s="6">
        <v>53</v>
      </c>
      <c r="B54" s="7" t="s">
        <v>102</v>
      </c>
      <c r="C54" s="6">
        <v>2</v>
      </c>
      <c r="D54" s="7" t="s">
        <v>40</v>
      </c>
      <c r="E54" s="6">
        <v>4</v>
      </c>
      <c r="F54" s="8">
        <v>3402</v>
      </c>
      <c r="G54" s="6">
        <v>1</v>
      </c>
      <c r="H54" s="8">
        <v>3024</v>
      </c>
      <c r="I54" s="9">
        <v>45990</v>
      </c>
      <c r="J54" s="9">
        <v>46180</v>
      </c>
      <c r="K54" s="11" t="s">
        <v>46</v>
      </c>
      <c r="L54" s="7" t="s">
        <v>47</v>
      </c>
    </row>
    <row r="55" spans="1:12" x14ac:dyDescent="0.2">
      <c r="A55" s="6">
        <v>54</v>
      </c>
      <c r="B55" s="7" t="s">
        <v>103</v>
      </c>
      <c r="C55" s="6">
        <v>3</v>
      </c>
      <c r="D55" s="7" t="s">
        <v>104</v>
      </c>
      <c r="E55" s="6">
        <v>3</v>
      </c>
      <c r="F55" s="8">
        <v>3150</v>
      </c>
      <c r="G55" s="6">
        <v>1</v>
      </c>
      <c r="H55" s="8">
        <v>3150</v>
      </c>
      <c r="I55" s="9">
        <v>46174</v>
      </c>
      <c r="J55" s="9">
        <v>46174</v>
      </c>
      <c r="K55" s="10" t="s">
        <v>41</v>
      </c>
      <c r="L55" s="7" t="s">
        <v>53</v>
      </c>
    </row>
    <row r="56" spans="1:12" x14ac:dyDescent="0.2">
      <c r="A56" s="6">
        <v>55</v>
      </c>
      <c r="B56" s="7" t="s">
        <v>105</v>
      </c>
      <c r="C56" s="6">
        <v>2</v>
      </c>
      <c r="D56" s="7" t="s">
        <v>40</v>
      </c>
      <c r="E56" s="6">
        <v>2</v>
      </c>
      <c r="F56" s="8">
        <v>3150</v>
      </c>
      <c r="G56" s="6">
        <v>1</v>
      </c>
      <c r="H56" s="8">
        <v>3150</v>
      </c>
      <c r="I56" s="9">
        <v>46085</v>
      </c>
      <c r="J56" s="9">
        <v>46085</v>
      </c>
      <c r="K56" s="10" t="s">
        <v>41</v>
      </c>
      <c r="L56" s="7"/>
    </row>
    <row r="57" spans="1:12" x14ac:dyDescent="0.2">
      <c r="A57" s="6">
        <v>56</v>
      </c>
      <c r="B57" s="7" t="s">
        <v>106</v>
      </c>
      <c r="C57" s="6">
        <v>2</v>
      </c>
      <c r="D57" s="7" t="s">
        <v>40</v>
      </c>
      <c r="E57" s="6">
        <v>4</v>
      </c>
      <c r="F57" s="8">
        <v>2880</v>
      </c>
      <c r="G57" s="6">
        <v>1</v>
      </c>
      <c r="H57" s="8">
        <v>2640</v>
      </c>
      <c r="I57" s="9">
        <v>45385</v>
      </c>
      <c r="J57" s="9">
        <v>45415</v>
      </c>
      <c r="K57" s="10" t="s">
        <v>41</v>
      </c>
      <c r="L57" s="7"/>
    </row>
    <row r="58" spans="1:12" x14ac:dyDescent="0.2">
      <c r="A58" s="6">
        <v>57</v>
      </c>
      <c r="B58" s="7" t="s">
        <v>107</v>
      </c>
      <c r="C58" s="6">
        <v>2</v>
      </c>
      <c r="D58" s="7" t="s">
        <v>40</v>
      </c>
      <c r="E58" s="6">
        <v>2</v>
      </c>
      <c r="F58" s="8">
        <v>2880</v>
      </c>
      <c r="G58" s="6">
        <v>1</v>
      </c>
      <c r="H58" s="8">
        <v>2880</v>
      </c>
      <c r="I58" s="9">
        <v>45344</v>
      </c>
      <c r="J58" s="9">
        <v>45344</v>
      </c>
      <c r="K58" s="10" t="s">
        <v>41</v>
      </c>
      <c r="L58" s="7"/>
    </row>
    <row r="59" spans="1:12" x14ac:dyDescent="0.2">
      <c r="A59" s="6">
        <v>58</v>
      </c>
      <c r="B59" s="7" t="s">
        <v>108</v>
      </c>
      <c r="C59" s="6">
        <v>3</v>
      </c>
      <c r="D59" s="7" t="s">
        <v>40</v>
      </c>
      <c r="E59" s="6">
        <v>3</v>
      </c>
      <c r="F59" s="8">
        <v>2880</v>
      </c>
      <c r="G59" s="6">
        <v>1</v>
      </c>
      <c r="H59" s="8">
        <v>3024</v>
      </c>
      <c r="I59" s="9">
        <v>46003</v>
      </c>
      <c r="J59" s="9">
        <v>46008</v>
      </c>
      <c r="K59" s="10" t="s">
        <v>41</v>
      </c>
      <c r="L59" s="7" t="s">
        <v>53</v>
      </c>
    </row>
    <row r="60" spans="1:12" x14ac:dyDescent="0.2">
      <c r="A60" s="6">
        <v>59</v>
      </c>
      <c r="B60" s="7" t="s">
        <v>109</v>
      </c>
      <c r="C60" s="6">
        <v>2</v>
      </c>
      <c r="D60" s="7" t="s">
        <v>40</v>
      </c>
      <c r="E60" s="6">
        <v>2</v>
      </c>
      <c r="F60" s="8">
        <v>2880</v>
      </c>
      <c r="G60" s="6">
        <v>1</v>
      </c>
      <c r="H60" s="8">
        <v>2880</v>
      </c>
      <c r="I60" s="9">
        <v>45360</v>
      </c>
      <c r="J60" s="9">
        <v>45360</v>
      </c>
      <c r="K60" s="11" t="s">
        <v>46</v>
      </c>
      <c r="L60" s="7" t="s">
        <v>47</v>
      </c>
    </row>
    <row r="61" spans="1:12" x14ac:dyDescent="0.2">
      <c r="A61" s="6">
        <v>60</v>
      </c>
      <c r="B61" s="7" t="s">
        <v>110</v>
      </c>
      <c r="C61" s="6">
        <v>4</v>
      </c>
      <c r="D61" s="7" t="s">
        <v>40</v>
      </c>
      <c r="E61" s="6">
        <v>4</v>
      </c>
      <c r="F61" s="8">
        <v>2520</v>
      </c>
      <c r="G61" s="6">
        <v>1</v>
      </c>
      <c r="H61" s="8">
        <v>2520</v>
      </c>
      <c r="I61" s="9">
        <v>46225</v>
      </c>
      <c r="J61" s="9">
        <v>46225</v>
      </c>
      <c r="K61" s="10" t="s">
        <v>41</v>
      </c>
      <c r="L61" s="7" t="s">
        <v>58</v>
      </c>
    </row>
    <row r="63" spans="1:12" x14ac:dyDescent="0.2">
      <c r="C63" s="12">
        <f>SUM(C2:C61)</f>
        <v>130</v>
      </c>
      <c r="E63" s="12">
        <f>SUM(E2:E61)</f>
        <v>271</v>
      </c>
      <c r="F63" s="13">
        <f>SUM(F2:F61)</f>
        <v>541880.9</v>
      </c>
      <c r="G63" s="12">
        <f>SUM(G2:G61)</f>
        <v>96</v>
      </c>
      <c r="H63" s="13">
        <f>SUM(H2:H61)</f>
        <v>421641</v>
      </c>
    </row>
  </sheetData>
  <autoFilter ref="A1:L6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9"/>
  <sheetViews>
    <sheetView zoomScaleNormal="100" workbookViewId="0">
      <pane ySplit="1" topLeftCell="A2" activePane="bottomLeft" state="frozen"/>
      <selection pane="bottomLeft"/>
    </sheetView>
  </sheetViews>
  <sheetFormatPr baseColWidth="10" defaultColWidth="8.6640625" defaultRowHeight="15" x14ac:dyDescent="0.2"/>
  <cols>
    <col min="1" max="1" width="13" customWidth="1"/>
    <col min="2" max="2" width="30" customWidth="1"/>
    <col min="3" max="3" width="16" customWidth="1"/>
    <col min="4" max="4" width="44" customWidth="1"/>
    <col min="5" max="5" width="40" customWidth="1"/>
    <col min="6" max="6" width="14" customWidth="1"/>
    <col min="7" max="7" width="12" customWidth="1"/>
    <col min="8" max="8" width="40" customWidth="1"/>
    <col min="9" max="9" width="16" customWidth="1"/>
  </cols>
  <sheetData>
    <row r="1" spans="1:9" x14ac:dyDescent="0.2">
      <c r="A1" s="5" t="s">
        <v>111</v>
      </c>
      <c r="B1" s="5" t="s">
        <v>112</v>
      </c>
      <c r="C1" s="5" t="s">
        <v>113</v>
      </c>
      <c r="D1" s="5" t="s">
        <v>114</v>
      </c>
      <c r="E1" s="5" t="s">
        <v>115</v>
      </c>
      <c r="F1" s="5" t="s">
        <v>116</v>
      </c>
      <c r="G1" s="5" t="s">
        <v>117</v>
      </c>
      <c r="H1" s="5" t="s">
        <v>118</v>
      </c>
      <c r="I1" s="5" t="s">
        <v>119</v>
      </c>
    </row>
    <row r="2" spans="1:9" x14ac:dyDescent="0.2">
      <c r="A2" s="9">
        <v>45344</v>
      </c>
      <c r="B2" s="14" t="s">
        <v>120</v>
      </c>
      <c r="C2" s="8">
        <v>2880</v>
      </c>
      <c r="D2" s="7" t="s">
        <v>107</v>
      </c>
      <c r="E2" s="7" t="s">
        <v>121</v>
      </c>
      <c r="F2" s="8">
        <v>2880</v>
      </c>
      <c r="G2" s="8">
        <v>0</v>
      </c>
      <c r="H2" s="7" t="s">
        <v>122</v>
      </c>
      <c r="I2" s="14" t="s">
        <v>123</v>
      </c>
    </row>
    <row r="3" spans="1:9" x14ac:dyDescent="0.2">
      <c r="A3" s="9">
        <v>45355</v>
      </c>
      <c r="B3" s="14" t="s">
        <v>120</v>
      </c>
      <c r="C3" s="8">
        <v>4800</v>
      </c>
      <c r="D3" s="7" t="s">
        <v>45</v>
      </c>
      <c r="E3" s="7" t="s">
        <v>124</v>
      </c>
      <c r="F3" s="8">
        <v>4800</v>
      </c>
      <c r="G3" s="8">
        <v>0</v>
      </c>
      <c r="H3" s="7" t="s">
        <v>122</v>
      </c>
      <c r="I3" s="14" t="s">
        <v>125</v>
      </c>
    </row>
    <row r="4" spans="1:9" x14ac:dyDescent="0.2">
      <c r="A4" s="9">
        <v>45357</v>
      </c>
      <c r="B4" s="14" t="s">
        <v>120</v>
      </c>
      <c r="C4" s="8">
        <v>4800</v>
      </c>
      <c r="D4" s="7" t="s">
        <v>54</v>
      </c>
      <c r="E4" s="7" t="s">
        <v>124</v>
      </c>
      <c r="F4" s="8">
        <v>4800</v>
      </c>
      <c r="G4" s="8">
        <v>0</v>
      </c>
      <c r="H4" s="7" t="s">
        <v>122</v>
      </c>
      <c r="I4" s="14" t="s">
        <v>126</v>
      </c>
    </row>
    <row r="5" spans="1:9" x14ac:dyDescent="0.2">
      <c r="A5" s="9">
        <v>45358</v>
      </c>
      <c r="B5" s="14" t="s">
        <v>120</v>
      </c>
      <c r="C5" s="8">
        <v>2880</v>
      </c>
      <c r="D5" s="7" t="s">
        <v>39</v>
      </c>
      <c r="E5" s="7" t="s">
        <v>121</v>
      </c>
      <c r="F5" s="8">
        <v>2880</v>
      </c>
      <c r="G5" s="8">
        <v>0</v>
      </c>
      <c r="H5" s="7" t="s">
        <v>122</v>
      </c>
      <c r="I5" s="14" t="s">
        <v>127</v>
      </c>
    </row>
    <row r="6" spans="1:9" x14ac:dyDescent="0.2">
      <c r="A6" s="9">
        <v>45360</v>
      </c>
      <c r="B6" s="14" t="s">
        <v>120</v>
      </c>
      <c r="C6" s="8">
        <v>2880</v>
      </c>
      <c r="D6" s="7" t="s">
        <v>109</v>
      </c>
      <c r="E6" s="7" t="s">
        <v>121</v>
      </c>
      <c r="F6" s="8">
        <v>2880</v>
      </c>
      <c r="G6" s="8">
        <v>0</v>
      </c>
      <c r="H6" s="7" t="s">
        <v>122</v>
      </c>
      <c r="I6" s="14" t="s">
        <v>128</v>
      </c>
    </row>
    <row r="7" spans="1:9" x14ac:dyDescent="0.2">
      <c r="A7" s="9">
        <v>45366</v>
      </c>
      <c r="B7" s="14" t="s">
        <v>120</v>
      </c>
      <c r="C7" s="8">
        <v>4800</v>
      </c>
      <c r="D7" s="7" t="s">
        <v>49</v>
      </c>
      <c r="E7" s="7" t="s">
        <v>124</v>
      </c>
      <c r="F7" s="8">
        <v>4800</v>
      </c>
      <c r="G7" s="8">
        <v>0</v>
      </c>
      <c r="H7" s="7" t="s">
        <v>122</v>
      </c>
      <c r="I7" s="14" t="s">
        <v>129</v>
      </c>
    </row>
    <row r="8" spans="1:9" x14ac:dyDescent="0.2">
      <c r="A8" s="9">
        <v>45375</v>
      </c>
      <c r="B8" s="14" t="s">
        <v>120</v>
      </c>
      <c r="C8" s="8">
        <v>4800</v>
      </c>
      <c r="D8" s="7" t="s">
        <v>96</v>
      </c>
      <c r="E8" s="7" t="s">
        <v>124</v>
      </c>
      <c r="F8" s="8">
        <v>4800</v>
      </c>
      <c r="G8" s="8">
        <v>0</v>
      </c>
      <c r="H8" s="7" t="s">
        <v>122</v>
      </c>
      <c r="I8" s="14" t="s">
        <v>130</v>
      </c>
    </row>
    <row r="9" spans="1:9" x14ac:dyDescent="0.2">
      <c r="A9" s="9">
        <v>45385</v>
      </c>
      <c r="B9" s="14" t="s">
        <v>120</v>
      </c>
      <c r="C9" s="8">
        <v>2640</v>
      </c>
      <c r="D9" s="7" t="s">
        <v>106</v>
      </c>
      <c r="E9" s="7" t="s">
        <v>131</v>
      </c>
      <c r="F9" s="8">
        <v>2640</v>
      </c>
      <c r="G9" s="8">
        <v>0</v>
      </c>
      <c r="H9" s="7" t="s">
        <v>122</v>
      </c>
      <c r="I9" s="14" t="s">
        <v>132</v>
      </c>
    </row>
    <row r="10" spans="1:9" x14ac:dyDescent="0.2">
      <c r="A10" s="9">
        <v>45420</v>
      </c>
      <c r="B10" s="14" t="s">
        <v>133</v>
      </c>
      <c r="C10" s="8">
        <v>4800</v>
      </c>
      <c r="D10" s="7" t="s">
        <v>63</v>
      </c>
      <c r="E10" s="7" t="s">
        <v>124</v>
      </c>
      <c r="F10" s="8">
        <v>4800</v>
      </c>
      <c r="G10" s="8">
        <v>0</v>
      </c>
      <c r="H10" s="7" t="s">
        <v>122</v>
      </c>
      <c r="I10" s="14" t="s">
        <v>134</v>
      </c>
    </row>
    <row r="11" spans="1:9" x14ac:dyDescent="0.2">
      <c r="A11" s="9">
        <v>45431</v>
      </c>
      <c r="B11" s="14" t="s">
        <v>120</v>
      </c>
      <c r="C11" s="8">
        <v>2500</v>
      </c>
      <c r="D11" s="7" t="s">
        <v>39</v>
      </c>
      <c r="E11" s="7" t="s">
        <v>135</v>
      </c>
      <c r="F11" s="8">
        <v>2500</v>
      </c>
      <c r="G11" s="8">
        <v>0</v>
      </c>
      <c r="H11" s="7" t="s">
        <v>122</v>
      </c>
      <c r="I11" s="14" t="s">
        <v>136</v>
      </c>
    </row>
    <row r="12" spans="1:9" ht="28" x14ac:dyDescent="0.2">
      <c r="A12" s="9">
        <v>45448</v>
      </c>
      <c r="B12" s="14" t="s">
        <v>120</v>
      </c>
      <c r="C12" s="8">
        <v>4800</v>
      </c>
      <c r="D12" s="7" t="s">
        <v>52</v>
      </c>
      <c r="E12" s="7" t="s">
        <v>137</v>
      </c>
      <c r="F12" s="8">
        <v>4800</v>
      </c>
      <c r="G12" s="8">
        <v>0</v>
      </c>
      <c r="H12" s="15" t="s">
        <v>138</v>
      </c>
      <c r="I12" s="14" t="s">
        <v>139</v>
      </c>
    </row>
    <row r="13" spans="1:9" x14ac:dyDescent="0.2">
      <c r="A13" s="9">
        <v>45457</v>
      </c>
      <c r="B13" s="14" t="s">
        <v>120</v>
      </c>
      <c r="C13" s="8">
        <v>3360</v>
      </c>
      <c r="D13" s="7" t="s">
        <v>42</v>
      </c>
      <c r="E13" s="7" t="s">
        <v>140</v>
      </c>
      <c r="F13" s="8">
        <v>3360</v>
      </c>
      <c r="G13" s="8">
        <v>0</v>
      </c>
      <c r="H13" s="7" t="s">
        <v>122</v>
      </c>
      <c r="I13" s="14" t="s">
        <v>141</v>
      </c>
    </row>
    <row r="14" spans="1:9" x14ac:dyDescent="0.2">
      <c r="A14" s="9">
        <v>45466</v>
      </c>
      <c r="B14" s="14" t="s">
        <v>120</v>
      </c>
      <c r="C14" s="8">
        <v>2400</v>
      </c>
      <c r="D14" s="7" t="s">
        <v>49</v>
      </c>
      <c r="E14" s="7" t="s">
        <v>142</v>
      </c>
      <c r="F14" s="8">
        <v>2400</v>
      </c>
      <c r="G14" s="8">
        <v>0</v>
      </c>
      <c r="H14" s="7" t="s">
        <v>122</v>
      </c>
      <c r="I14" s="14" t="s">
        <v>143</v>
      </c>
    </row>
    <row r="15" spans="1:9" x14ac:dyDescent="0.2">
      <c r="A15" s="9">
        <v>45480</v>
      </c>
      <c r="B15" s="14" t="s">
        <v>133</v>
      </c>
      <c r="C15" s="8">
        <v>5760</v>
      </c>
      <c r="D15" s="7" t="s">
        <v>59</v>
      </c>
      <c r="E15" s="7" t="s">
        <v>144</v>
      </c>
      <c r="F15" s="8">
        <v>5760</v>
      </c>
      <c r="G15" s="8">
        <v>0</v>
      </c>
      <c r="H15" s="7" t="s">
        <v>122</v>
      </c>
      <c r="I15" s="14" t="s">
        <v>145</v>
      </c>
    </row>
    <row r="16" spans="1:9" x14ac:dyDescent="0.2">
      <c r="A16" s="9">
        <v>45512</v>
      </c>
      <c r="B16" s="14" t="s">
        <v>120</v>
      </c>
      <c r="C16" s="8">
        <v>4500</v>
      </c>
      <c r="D16" s="7" t="s">
        <v>39</v>
      </c>
      <c r="E16" s="7" t="s">
        <v>146</v>
      </c>
      <c r="F16" s="8">
        <v>4500</v>
      </c>
      <c r="G16" s="8">
        <v>0</v>
      </c>
      <c r="H16" s="7" t="s">
        <v>122</v>
      </c>
      <c r="I16" s="14" t="s">
        <v>147</v>
      </c>
    </row>
    <row r="17" spans="1:9" x14ac:dyDescent="0.2">
      <c r="A17" s="9">
        <v>45514</v>
      </c>
      <c r="B17" s="14" t="s">
        <v>120</v>
      </c>
      <c r="C17" s="8">
        <v>4800</v>
      </c>
      <c r="D17" s="7" t="s">
        <v>62</v>
      </c>
      <c r="E17" s="7" t="s">
        <v>124</v>
      </c>
      <c r="F17" s="8">
        <v>4800</v>
      </c>
      <c r="G17" s="8">
        <v>0</v>
      </c>
      <c r="H17" s="7" t="s">
        <v>122</v>
      </c>
      <c r="I17" s="14" t="s">
        <v>148</v>
      </c>
    </row>
    <row r="18" spans="1:9" x14ac:dyDescent="0.2">
      <c r="A18" s="9">
        <v>45517</v>
      </c>
      <c r="B18" s="14" t="s">
        <v>120</v>
      </c>
      <c r="C18" s="8">
        <v>1200</v>
      </c>
      <c r="D18" s="7" t="s">
        <v>149</v>
      </c>
      <c r="E18" s="7" t="s">
        <v>150</v>
      </c>
      <c r="F18" s="8">
        <v>1200</v>
      </c>
      <c r="G18" s="8">
        <v>0</v>
      </c>
      <c r="H18" s="16" t="s">
        <v>151</v>
      </c>
      <c r="I18" s="14" t="s">
        <v>152</v>
      </c>
    </row>
    <row r="19" spans="1:9" x14ac:dyDescent="0.2">
      <c r="A19" s="9">
        <v>45531</v>
      </c>
      <c r="B19" s="14" t="s">
        <v>120</v>
      </c>
      <c r="C19" s="8">
        <v>2400</v>
      </c>
      <c r="D19" s="7" t="s">
        <v>49</v>
      </c>
      <c r="E19" s="7" t="s">
        <v>142</v>
      </c>
      <c r="F19" s="8">
        <v>2400</v>
      </c>
      <c r="G19" s="8">
        <v>0</v>
      </c>
      <c r="H19" s="7" t="s">
        <v>153</v>
      </c>
      <c r="I19" s="14" t="s">
        <v>154</v>
      </c>
    </row>
    <row r="20" spans="1:9" x14ac:dyDescent="0.2">
      <c r="A20" s="9">
        <v>45540</v>
      </c>
      <c r="B20" s="14" t="s">
        <v>133</v>
      </c>
      <c r="C20" s="8">
        <v>5000</v>
      </c>
      <c r="D20" s="7" t="s">
        <v>44</v>
      </c>
      <c r="E20" s="7" t="s">
        <v>155</v>
      </c>
      <c r="F20" s="8">
        <v>5000</v>
      </c>
      <c r="G20" s="8">
        <v>0</v>
      </c>
      <c r="H20" s="7" t="s">
        <v>122</v>
      </c>
      <c r="I20" s="14" t="s">
        <v>156</v>
      </c>
    </row>
    <row r="21" spans="1:9" x14ac:dyDescent="0.2">
      <c r="A21" s="9">
        <v>45557</v>
      </c>
      <c r="B21" s="14" t="s">
        <v>133</v>
      </c>
      <c r="C21" s="8">
        <v>2520</v>
      </c>
      <c r="D21" s="7" t="s">
        <v>149</v>
      </c>
      <c r="E21" s="7" t="s">
        <v>157</v>
      </c>
      <c r="F21" s="8">
        <v>2520</v>
      </c>
      <c r="G21" s="8">
        <v>0</v>
      </c>
      <c r="H21" s="16" t="s">
        <v>151</v>
      </c>
      <c r="I21" s="14" t="s">
        <v>158</v>
      </c>
    </row>
    <row r="22" spans="1:9" x14ac:dyDescent="0.2">
      <c r="A22" s="9">
        <v>45572</v>
      </c>
      <c r="B22" s="14" t="s">
        <v>159</v>
      </c>
      <c r="C22" s="8">
        <v>3360</v>
      </c>
      <c r="D22" s="7" t="s">
        <v>42</v>
      </c>
      <c r="E22" s="7" t="s">
        <v>140</v>
      </c>
      <c r="F22" s="8">
        <v>3360</v>
      </c>
      <c r="G22" s="8">
        <v>0</v>
      </c>
      <c r="H22" s="7" t="s">
        <v>122</v>
      </c>
      <c r="I22" s="14" t="s">
        <v>160</v>
      </c>
    </row>
    <row r="23" spans="1:9" x14ac:dyDescent="0.2">
      <c r="A23" s="9">
        <v>45579</v>
      </c>
      <c r="B23" s="14" t="s">
        <v>133</v>
      </c>
      <c r="C23" s="8">
        <v>3700</v>
      </c>
      <c r="D23" s="7" t="s">
        <v>100</v>
      </c>
      <c r="E23" s="7" t="s">
        <v>161</v>
      </c>
      <c r="F23" s="8">
        <v>3700</v>
      </c>
      <c r="G23" s="8">
        <v>0</v>
      </c>
      <c r="H23" s="7" t="s">
        <v>122</v>
      </c>
      <c r="I23" s="14" t="s">
        <v>162</v>
      </c>
    </row>
    <row r="24" spans="1:9" x14ac:dyDescent="0.2">
      <c r="A24" s="9">
        <v>45590</v>
      </c>
      <c r="B24" s="14" t="s">
        <v>133</v>
      </c>
      <c r="C24" s="8">
        <v>2520</v>
      </c>
      <c r="D24" s="7" t="s">
        <v>69</v>
      </c>
      <c r="E24" s="7" t="s">
        <v>157</v>
      </c>
      <c r="F24" s="8">
        <v>2520</v>
      </c>
      <c r="G24" s="8">
        <v>0</v>
      </c>
      <c r="H24" s="7" t="s">
        <v>153</v>
      </c>
      <c r="I24" s="14" t="s">
        <v>163</v>
      </c>
    </row>
    <row r="25" spans="1:9" x14ac:dyDescent="0.2">
      <c r="A25" s="9">
        <v>45591</v>
      </c>
      <c r="B25" s="14" t="s">
        <v>159</v>
      </c>
      <c r="C25" s="8">
        <v>4800</v>
      </c>
      <c r="D25" s="7" t="s">
        <v>51</v>
      </c>
      <c r="E25" s="7" t="s">
        <v>124</v>
      </c>
      <c r="F25" s="8">
        <v>4800</v>
      </c>
      <c r="G25" s="8">
        <v>0</v>
      </c>
      <c r="H25" s="7" t="s">
        <v>122</v>
      </c>
      <c r="I25" s="14" t="s">
        <v>164</v>
      </c>
    </row>
    <row r="26" spans="1:9" x14ac:dyDescent="0.2">
      <c r="A26" s="9">
        <v>45595</v>
      </c>
      <c r="B26" s="14" t="s">
        <v>159</v>
      </c>
      <c r="C26" s="8">
        <v>4500</v>
      </c>
      <c r="D26" s="7" t="s">
        <v>39</v>
      </c>
      <c r="E26" s="7" t="s">
        <v>146</v>
      </c>
      <c r="F26" s="8">
        <v>4500</v>
      </c>
      <c r="G26" s="8">
        <v>0</v>
      </c>
      <c r="H26" s="7" t="s">
        <v>122</v>
      </c>
      <c r="I26" s="14" t="s">
        <v>165</v>
      </c>
    </row>
    <row r="27" spans="1:9" x14ac:dyDescent="0.2">
      <c r="A27" s="9">
        <v>45602</v>
      </c>
      <c r="B27" s="14" t="s">
        <v>133</v>
      </c>
      <c r="C27" s="8">
        <v>5040</v>
      </c>
      <c r="D27" s="7" t="s">
        <v>54</v>
      </c>
      <c r="E27" s="7" t="s">
        <v>166</v>
      </c>
      <c r="F27" s="8">
        <v>5040</v>
      </c>
      <c r="G27" s="8">
        <v>0</v>
      </c>
      <c r="H27" s="7" t="s">
        <v>122</v>
      </c>
      <c r="I27" s="14" t="s">
        <v>167</v>
      </c>
    </row>
    <row r="28" spans="1:9" x14ac:dyDescent="0.2">
      <c r="A28" s="9">
        <v>45607</v>
      </c>
      <c r="B28" s="14" t="s">
        <v>159</v>
      </c>
      <c r="C28" s="8">
        <v>4800</v>
      </c>
      <c r="D28" s="7" t="s">
        <v>49</v>
      </c>
      <c r="E28" s="7" t="s">
        <v>124</v>
      </c>
      <c r="F28" s="8">
        <v>4800</v>
      </c>
      <c r="G28" s="8">
        <v>0</v>
      </c>
      <c r="H28" s="7" t="s">
        <v>122</v>
      </c>
      <c r="I28" s="14" t="s">
        <v>168</v>
      </c>
    </row>
    <row r="29" spans="1:9" x14ac:dyDescent="0.2">
      <c r="A29" s="9">
        <v>45650</v>
      </c>
      <c r="B29" s="14" t="s">
        <v>133</v>
      </c>
      <c r="C29" s="8">
        <v>3000</v>
      </c>
      <c r="D29" s="7" t="s">
        <v>42</v>
      </c>
      <c r="E29" s="7" t="s">
        <v>169</v>
      </c>
      <c r="F29" s="8">
        <v>3000</v>
      </c>
      <c r="G29" s="8">
        <v>0</v>
      </c>
      <c r="H29" s="7" t="s">
        <v>122</v>
      </c>
      <c r="I29" s="14" t="s">
        <v>170</v>
      </c>
    </row>
    <row r="30" spans="1:9" ht="28" x14ac:dyDescent="0.2">
      <c r="A30" s="9">
        <v>45669</v>
      </c>
      <c r="B30" s="14" t="s">
        <v>133</v>
      </c>
      <c r="C30" s="8">
        <v>5040</v>
      </c>
      <c r="D30" s="7" t="s">
        <v>52</v>
      </c>
      <c r="E30" s="7" t="s">
        <v>171</v>
      </c>
      <c r="F30" s="8">
        <v>5040</v>
      </c>
      <c r="G30" s="8">
        <v>0</v>
      </c>
      <c r="H30" s="7" t="s">
        <v>172</v>
      </c>
      <c r="I30" s="14" t="s">
        <v>173</v>
      </c>
    </row>
    <row r="31" spans="1:9" x14ac:dyDescent="0.2">
      <c r="A31" s="9">
        <v>45671</v>
      </c>
      <c r="B31" s="14" t="s">
        <v>133</v>
      </c>
      <c r="C31" s="8">
        <v>5000</v>
      </c>
      <c r="D31" s="7" t="s">
        <v>44</v>
      </c>
      <c r="E31" s="7" t="s">
        <v>155</v>
      </c>
      <c r="F31" s="8">
        <v>5000</v>
      </c>
      <c r="G31" s="8">
        <v>0</v>
      </c>
      <c r="H31" s="7" t="s">
        <v>122</v>
      </c>
      <c r="I31" s="14" t="s">
        <v>174</v>
      </c>
    </row>
    <row r="32" spans="1:9" x14ac:dyDescent="0.2">
      <c r="A32" s="9">
        <v>45688</v>
      </c>
      <c r="B32" s="14" t="s">
        <v>120</v>
      </c>
      <c r="C32" s="8">
        <v>2520</v>
      </c>
      <c r="D32" s="7" t="s">
        <v>149</v>
      </c>
      <c r="E32" s="7" t="s">
        <v>175</v>
      </c>
      <c r="F32" s="8">
        <v>2520</v>
      </c>
      <c r="G32" s="8">
        <v>0</v>
      </c>
      <c r="H32" s="16" t="s">
        <v>176</v>
      </c>
      <c r="I32" s="14" t="s">
        <v>177</v>
      </c>
    </row>
    <row r="33" spans="1:9" x14ac:dyDescent="0.2">
      <c r="A33" s="9">
        <v>45696</v>
      </c>
      <c r="B33" s="14" t="s">
        <v>178</v>
      </c>
      <c r="C33" s="8">
        <v>4560</v>
      </c>
      <c r="D33" s="7" t="s">
        <v>63</v>
      </c>
      <c r="E33" s="7" t="s">
        <v>179</v>
      </c>
      <c r="F33" s="8">
        <v>4560</v>
      </c>
      <c r="G33" s="8">
        <v>0</v>
      </c>
      <c r="H33" s="7" t="s">
        <v>122</v>
      </c>
      <c r="I33" s="14" t="s">
        <v>180</v>
      </c>
    </row>
    <row r="34" spans="1:9" x14ac:dyDescent="0.2">
      <c r="A34" s="9">
        <v>45696</v>
      </c>
      <c r="B34" s="14" t="s">
        <v>178</v>
      </c>
      <c r="C34" s="8">
        <v>4200</v>
      </c>
      <c r="D34" s="7" t="s">
        <v>43</v>
      </c>
      <c r="E34" s="7" t="s">
        <v>181</v>
      </c>
      <c r="F34" s="8">
        <v>4200</v>
      </c>
      <c r="G34" s="8">
        <v>0</v>
      </c>
      <c r="H34" s="7" t="s">
        <v>122</v>
      </c>
      <c r="I34" s="14" t="s">
        <v>182</v>
      </c>
    </row>
    <row r="35" spans="1:9" x14ac:dyDescent="0.2">
      <c r="A35" s="9">
        <v>45724</v>
      </c>
      <c r="B35" s="14" t="s">
        <v>133</v>
      </c>
      <c r="C35" s="8">
        <v>2600</v>
      </c>
      <c r="D35" s="7" t="s">
        <v>42</v>
      </c>
      <c r="E35" s="7" t="s">
        <v>183</v>
      </c>
      <c r="F35" s="8">
        <v>2600</v>
      </c>
      <c r="G35" s="8">
        <v>0</v>
      </c>
      <c r="H35" s="7" t="s">
        <v>122</v>
      </c>
      <c r="I35" s="14" t="s">
        <v>184</v>
      </c>
    </row>
    <row r="36" spans="1:9" x14ac:dyDescent="0.2">
      <c r="A36" s="9">
        <v>45724</v>
      </c>
      <c r="B36" s="14" t="s">
        <v>159</v>
      </c>
      <c r="C36" s="8">
        <v>3960</v>
      </c>
      <c r="D36" s="7" t="s">
        <v>72</v>
      </c>
      <c r="E36" s="7" t="s">
        <v>185</v>
      </c>
      <c r="F36" s="8">
        <v>3960</v>
      </c>
      <c r="G36" s="8">
        <v>0</v>
      </c>
      <c r="H36" s="7" t="s">
        <v>122</v>
      </c>
      <c r="I36" s="14" t="s">
        <v>186</v>
      </c>
    </row>
    <row r="37" spans="1:9" ht="28" x14ac:dyDescent="0.2">
      <c r="A37" s="9">
        <v>45733</v>
      </c>
      <c r="B37" s="14" t="s">
        <v>133</v>
      </c>
      <c r="C37" s="8">
        <v>5040</v>
      </c>
      <c r="D37" s="7" t="s">
        <v>52</v>
      </c>
      <c r="E37" s="7" t="s">
        <v>171</v>
      </c>
      <c r="F37" s="8">
        <v>5040</v>
      </c>
      <c r="G37" s="8">
        <v>0</v>
      </c>
      <c r="H37" s="7" t="s">
        <v>172</v>
      </c>
      <c r="I37" s="14" t="s">
        <v>187</v>
      </c>
    </row>
    <row r="38" spans="1:9" x14ac:dyDescent="0.2">
      <c r="A38" s="9">
        <v>45748</v>
      </c>
      <c r="B38" s="14" t="s">
        <v>120</v>
      </c>
      <c r="C38" s="8">
        <v>2400</v>
      </c>
      <c r="D38" s="7" t="s">
        <v>81</v>
      </c>
      <c r="E38" s="7" t="s">
        <v>142</v>
      </c>
      <c r="F38" s="8">
        <v>2400</v>
      </c>
      <c r="G38" s="8">
        <v>0</v>
      </c>
      <c r="H38" s="7" t="s">
        <v>122</v>
      </c>
      <c r="I38" s="14" t="s">
        <v>188</v>
      </c>
    </row>
    <row r="39" spans="1:9" x14ac:dyDescent="0.2">
      <c r="A39" s="9">
        <v>45760</v>
      </c>
      <c r="B39" s="14" t="s">
        <v>159</v>
      </c>
      <c r="C39" s="8">
        <v>3840</v>
      </c>
      <c r="D39" s="7" t="s">
        <v>99</v>
      </c>
      <c r="E39" s="7" t="s">
        <v>189</v>
      </c>
      <c r="F39" s="8">
        <v>3840</v>
      </c>
      <c r="G39" s="8">
        <v>0</v>
      </c>
      <c r="H39" s="7" t="s">
        <v>122</v>
      </c>
      <c r="I39" s="14" t="s">
        <v>190</v>
      </c>
    </row>
    <row r="40" spans="1:9" x14ac:dyDescent="0.2">
      <c r="A40" s="9">
        <v>45761</v>
      </c>
      <c r="B40" s="14" t="s">
        <v>191</v>
      </c>
      <c r="C40" s="8">
        <v>2400</v>
      </c>
      <c r="D40" s="7" t="s">
        <v>79</v>
      </c>
      <c r="E40" s="7" t="s">
        <v>142</v>
      </c>
      <c r="F40" s="8">
        <v>2400</v>
      </c>
      <c r="G40" s="8">
        <v>0</v>
      </c>
      <c r="H40" s="7" t="s">
        <v>153</v>
      </c>
      <c r="I40" s="14" t="s">
        <v>192</v>
      </c>
    </row>
    <row r="41" spans="1:9" x14ac:dyDescent="0.2">
      <c r="A41" s="9">
        <v>45786</v>
      </c>
      <c r="B41" s="14" t="s">
        <v>133</v>
      </c>
      <c r="C41" s="8">
        <v>3960</v>
      </c>
      <c r="D41" s="7" t="s">
        <v>42</v>
      </c>
      <c r="E41" s="7" t="s">
        <v>185</v>
      </c>
      <c r="F41" s="8">
        <v>3960</v>
      </c>
      <c r="G41" s="8">
        <v>0</v>
      </c>
      <c r="H41" s="7" t="s">
        <v>122</v>
      </c>
      <c r="I41" s="14" t="s">
        <v>193</v>
      </c>
    </row>
    <row r="42" spans="1:9" x14ac:dyDescent="0.2">
      <c r="A42" s="9">
        <v>45802</v>
      </c>
      <c r="B42" s="14" t="s">
        <v>120</v>
      </c>
      <c r="C42" s="8">
        <v>4500</v>
      </c>
      <c r="D42" s="7" t="s">
        <v>49</v>
      </c>
      <c r="E42" s="7" t="s">
        <v>146</v>
      </c>
      <c r="F42" s="8">
        <v>4500</v>
      </c>
      <c r="G42" s="8">
        <v>0</v>
      </c>
      <c r="H42" s="7" t="s">
        <v>122</v>
      </c>
      <c r="I42" s="14" t="s">
        <v>194</v>
      </c>
    </row>
    <row r="43" spans="1:9" x14ac:dyDescent="0.2">
      <c r="A43" s="9">
        <v>45808</v>
      </c>
      <c r="B43" s="14" t="s">
        <v>120</v>
      </c>
      <c r="C43" s="8">
        <v>5000</v>
      </c>
      <c r="D43" s="7" t="s">
        <v>44</v>
      </c>
      <c r="E43" s="7" t="s">
        <v>155</v>
      </c>
      <c r="F43" s="8">
        <v>5000</v>
      </c>
      <c r="G43" s="8">
        <v>0</v>
      </c>
      <c r="H43" s="7" t="s">
        <v>122</v>
      </c>
      <c r="I43" s="14" t="s">
        <v>195</v>
      </c>
    </row>
    <row r="44" spans="1:9" x14ac:dyDescent="0.2">
      <c r="A44" s="9">
        <v>45812</v>
      </c>
      <c r="B44" s="14" t="s">
        <v>133</v>
      </c>
      <c r="C44" s="8">
        <v>6400</v>
      </c>
      <c r="D44" s="7" t="s">
        <v>59</v>
      </c>
      <c r="E44" s="7" t="s">
        <v>196</v>
      </c>
      <c r="F44" s="8">
        <v>6400</v>
      </c>
      <c r="G44" s="8">
        <v>0</v>
      </c>
      <c r="H44" s="7" t="s">
        <v>122</v>
      </c>
      <c r="I44" s="14" t="s">
        <v>197</v>
      </c>
    </row>
    <row r="45" spans="1:9" x14ac:dyDescent="0.2">
      <c r="A45" s="9">
        <v>45819</v>
      </c>
      <c r="B45" s="14" t="s">
        <v>120</v>
      </c>
      <c r="C45" s="8">
        <v>2200</v>
      </c>
      <c r="D45" s="7" t="s">
        <v>92</v>
      </c>
      <c r="E45" s="7" t="s">
        <v>198</v>
      </c>
      <c r="F45" s="8">
        <v>2200</v>
      </c>
      <c r="G45" s="8">
        <v>0</v>
      </c>
      <c r="H45" s="7" t="s">
        <v>122</v>
      </c>
      <c r="I45" s="14" t="s">
        <v>199</v>
      </c>
    </row>
    <row r="46" spans="1:9" x14ac:dyDescent="0.2">
      <c r="A46" s="9">
        <v>45833</v>
      </c>
      <c r="B46" s="14" t="s">
        <v>120</v>
      </c>
      <c r="C46" s="8">
        <v>4000</v>
      </c>
      <c r="D46" s="7" t="s">
        <v>39</v>
      </c>
      <c r="E46" s="7" t="s">
        <v>200</v>
      </c>
      <c r="F46" s="8">
        <v>4000</v>
      </c>
      <c r="G46" s="8">
        <v>0</v>
      </c>
      <c r="H46" s="7" t="s">
        <v>153</v>
      </c>
      <c r="I46" s="14" t="s">
        <v>201</v>
      </c>
    </row>
    <row r="47" spans="1:9" x14ac:dyDescent="0.2">
      <c r="A47" s="9">
        <v>45834</v>
      </c>
      <c r="B47" s="14" t="s">
        <v>120</v>
      </c>
      <c r="C47" s="8">
        <v>2880</v>
      </c>
      <c r="D47" s="7" t="s">
        <v>88</v>
      </c>
      <c r="E47" s="7" t="s">
        <v>202</v>
      </c>
      <c r="F47" s="8">
        <v>2800</v>
      </c>
      <c r="G47" s="17">
        <v>80</v>
      </c>
      <c r="H47" s="7" t="s">
        <v>203</v>
      </c>
      <c r="I47" s="14" t="s">
        <v>204</v>
      </c>
    </row>
    <row r="48" spans="1:9" x14ac:dyDescent="0.2">
      <c r="A48" s="9">
        <v>45836</v>
      </c>
      <c r="B48" s="14" t="s">
        <v>191</v>
      </c>
      <c r="C48" s="8">
        <v>7500</v>
      </c>
      <c r="D48" s="7" t="s">
        <v>48</v>
      </c>
      <c r="E48" s="7" t="s">
        <v>205</v>
      </c>
      <c r="F48" s="8">
        <v>7500</v>
      </c>
      <c r="G48" s="8">
        <v>0</v>
      </c>
      <c r="H48" s="7" t="s">
        <v>153</v>
      </c>
      <c r="I48" s="14" t="s">
        <v>206</v>
      </c>
    </row>
    <row r="49" spans="1:9" x14ac:dyDescent="0.2">
      <c r="A49" s="9">
        <v>45839</v>
      </c>
      <c r="B49" s="14" t="s">
        <v>120</v>
      </c>
      <c r="C49" s="8">
        <v>3690</v>
      </c>
      <c r="D49" s="7" t="s">
        <v>81</v>
      </c>
      <c r="E49" s="7" t="s">
        <v>207</v>
      </c>
      <c r="F49" s="8">
        <v>3690</v>
      </c>
      <c r="G49" s="8">
        <v>0</v>
      </c>
      <c r="H49" s="7" t="s">
        <v>122</v>
      </c>
      <c r="I49" s="14" t="s">
        <v>208</v>
      </c>
    </row>
    <row r="50" spans="1:9" x14ac:dyDescent="0.2">
      <c r="A50" s="9">
        <v>45843</v>
      </c>
      <c r="B50" s="14" t="s">
        <v>120</v>
      </c>
      <c r="C50" s="8">
        <v>4800</v>
      </c>
      <c r="D50" s="7" t="s">
        <v>67</v>
      </c>
      <c r="E50" s="7" t="s">
        <v>124</v>
      </c>
      <c r="F50" s="8">
        <v>4800</v>
      </c>
      <c r="G50" s="8">
        <v>0</v>
      </c>
      <c r="H50" s="7" t="s">
        <v>122</v>
      </c>
      <c r="I50" s="14" t="s">
        <v>209</v>
      </c>
    </row>
    <row r="51" spans="1:9" x14ac:dyDescent="0.2">
      <c r="A51" s="9">
        <v>45896</v>
      </c>
      <c r="B51" s="14" t="s">
        <v>191</v>
      </c>
      <c r="C51" s="8">
        <v>4320</v>
      </c>
      <c r="D51" s="7" t="s">
        <v>79</v>
      </c>
      <c r="E51" s="7" t="s">
        <v>210</v>
      </c>
      <c r="F51" s="8">
        <v>4320</v>
      </c>
      <c r="G51" s="8">
        <v>0</v>
      </c>
      <c r="H51" s="7" t="s">
        <v>122</v>
      </c>
      <c r="I51" s="14" t="s">
        <v>211</v>
      </c>
    </row>
    <row r="52" spans="1:9" x14ac:dyDescent="0.2">
      <c r="A52" s="9">
        <v>45903</v>
      </c>
      <c r="B52" s="14" t="s">
        <v>133</v>
      </c>
      <c r="C52" s="8">
        <v>4800</v>
      </c>
      <c r="D52" s="7" t="s">
        <v>54</v>
      </c>
      <c r="E52" s="7" t="s">
        <v>124</v>
      </c>
      <c r="F52" s="8">
        <v>4800</v>
      </c>
      <c r="G52" s="8">
        <v>0</v>
      </c>
      <c r="H52" s="7" t="s">
        <v>122</v>
      </c>
      <c r="I52" s="14" t="s">
        <v>212</v>
      </c>
    </row>
    <row r="53" spans="1:9" x14ac:dyDescent="0.2">
      <c r="A53" s="9">
        <v>45906</v>
      </c>
      <c r="B53" s="14" t="s">
        <v>120</v>
      </c>
      <c r="C53" s="8">
        <v>4636</v>
      </c>
      <c r="D53" s="7" t="s">
        <v>74</v>
      </c>
      <c r="E53" s="7" t="s">
        <v>213</v>
      </c>
      <c r="F53" s="8">
        <v>4635.8999999999996</v>
      </c>
      <c r="G53" s="17">
        <v>0.1</v>
      </c>
      <c r="H53" s="7" t="s">
        <v>214</v>
      </c>
      <c r="I53" s="14" t="s">
        <v>215</v>
      </c>
    </row>
    <row r="54" spans="1:9" x14ac:dyDescent="0.2">
      <c r="A54" s="9">
        <v>45906</v>
      </c>
      <c r="B54" s="14" t="s">
        <v>133</v>
      </c>
      <c r="C54" s="8">
        <v>2400</v>
      </c>
      <c r="D54" s="7" t="s">
        <v>82</v>
      </c>
      <c r="E54" s="7" t="s">
        <v>142</v>
      </c>
      <c r="F54" s="8">
        <v>2400</v>
      </c>
      <c r="G54" s="8">
        <v>0</v>
      </c>
      <c r="H54" s="7" t="s">
        <v>122</v>
      </c>
      <c r="I54" s="14" t="s">
        <v>216</v>
      </c>
    </row>
    <row r="55" spans="1:9" x14ac:dyDescent="0.2">
      <c r="A55" s="9">
        <v>45908</v>
      </c>
      <c r="B55" s="14" t="s">
        <v>133</v>
      </c>
      <c r="C55" s="8">
        <v>5000</v>
      </c>
      <c r="D55" s="7" t="s">
        <v>43</v>
      </c>
      <c r="E55" s="7" t="s">
        <v>155</v>
      </c>
      <c r="F55" s="8">
        <v>5000</v>
      </c>
      <c r="G55" s="8">
        <v>0</v>
      </c>
      <c r="H55" s="7" t="s">
        <v>122</v>
      </c>
      <c r="I55" s="14" t="s">
        <v>217</v>
      </c>
    </row>
    <row r="56" spans="1:9" ht="28" x14ac:dyDescent="0.2">
      <c r="A56" s="9">
        <v>45914</v>
      </c>
      <c r="B56" s="14" t="s">
        <v>191</v>
      </c>
      <c r="C56" s="8">
        <v>7540</v>
      </c>
      <c r="D56" s="7" t="s">
        <v>56</v>
      </c>
      <c r="E56" s="7" t="s">
        <v>218</v>
      </c>
      <c r="F56" s="8">
        <v>7540</v>
      </c>
      <c r="G56" s="8">
        <v>0</v>
      </c>
      <c r="H56" s="7" t="s">
        <v>219</v>
      </c>
      <c r="I56" s="14" t="s">
        <v>220</v>
      </c>
    </row>
    <row r="57" spans="1:9" x14ac:dyDescent="0.2">
      <c r="A57" s="9">
        <v>45929</v>
      </c>
      <c r="B57" s="14" t="s">
        <v>191</v>
      </c>
      <c r="C57" s="8">
        <v>2880</v>
      </c>
      <c r="D57" s="7" t="s">
        <v>61</v>
      </c>
      <c r="E57" s="7" t="s">
        <v>121</v>
      </c>
      <c r="F57" s="8">
        <v>2880</v>
      </c>
      <c r="G57" s="8">
        <v>0</v>
      </c>
      <c r="H57" s="7" t="s">
        <v>122</v>
      </c>
      <c r="I57" s="14" t="s">
        <v>221</v>
      </c>
    </row>
    <row r="58" spans="1:9" x14ac:dyDescent="0.2">
      <c r="A58" s="9">
        <v>45940</v>
      </c>
      <c r="B58" s="14" t="s">
        <v>120</v>
      </c>
      <c r="C58" s="8">
        <v>4800</v>
      </c>
      <c r="D58" s="7" t="s">
        <v>51</v>
      </c>
      <c r="E58" s="7" t="s">
        <v>124</v>
      </c>
      <c r="F58" s="8">
        <v>4800</v>
      </c>
      <c r="G58" s="8">
        <v>0</v>
      </c>
      <c r="H58" s="7" t="s">
        <v>122</v>
      </c>
      <c r="I58" s="14" t="s">
        <v>222</v>
      </c>
    </row>
    <row r="59" spans="1:9" x14ac:dyDescent="0.2">
      <c r="A59" s="9">
        <v>45949</v>
      </c>
      <c r="B59" s="14" t="s">
        <v>133</v>
      </c>
      <c r="C59" s="8">
        <v>7875</v>
      </c>
      <c r="D59" s="7" t="s">
        <v>55</v>
      </c>
      <c r="E59" s="7" t="s">
        <v>223</v>
      </c>
      <c r="F59" s="8">
        <v>7874</v>
      </c>
      <c r="G59" s="17">
        <v>1</v>
      </c>
      <c r="H59" s="7" t="s">
        <v>224</v>
      </c>
      <c r="I59" s="14" t="s">
        <v>225</v>
      </c>
    </row>
    <row r="60" spans="1:9" x14ac:dyDescent="0.2">
      <c r="A60" s="9">
        <v>45959</v>
      </c>
      <c r="B60" s="14" t="s">
        <v>120</v>
      </c>
      <c r="C60" s="8">
        <v>4800</v>
      </c>
      <c r="D60" s="7" t="s">
        <v>95</v>
      </c>
      <c r="E60" s="7" t="s">
        <v>124</v>
      </c>
      <c r="F60" s="8">
        <v>4800</v>
      </c>
      <c r="G60" s="8">
        <v>0</v>
      </c>
      <c r="H60" s="7" t="s">
        <v>122</v>
      </c>
      <c r="I60" s="14" t="s">
        <v>226</v>
      </c>
    </row>
    <row r="61" spans="1:9" x14ac:dyDescent="0.2">
      <c r="A61" s="9">
        <v>45967</v>
      </c>
      <c r="B61" s="14" t="s">
        <v>120</v>
      </c>
      <c r="C61" s="8">
        <v>7500</v>
      </c>
      <c r="D61" s="7" t="s">
        <v>39</v>
      </c>
      <c r="E61" s="7" t="s">
        <v>205</v>
      </c>
      <c r="F61" s="8">
        <v>7500</v>
      </c>
      <c r="G61" s="8">
        <v>0</v>
      </c>
      <c r="H61" s="7" t="s">
        <v>122</v>
      </c>
      <c r="I61" s="14" t="s">
        <v>227</v>
      </c>
    </row>
    <row r="62" spans="1:9" x14ac:dyDescent="0.2">
      <c r="A62" s="9">
        <v>45969</v>
      </c>
      <c r="B62" s="14" t="s">
        <v>133</v>
      </c>
      <c r="C62" s="8">
        <v>7140</v>
      </c>
      <c r="D62" s="7" t="s">
        <v>42</v>
      </c>
      <c r="E62" s="7" t="s">
        <v>228</v>
      </c>
      <c r="F62" s="8">
        <v>7140</v>
      </c>
      <c r="G62" s="8">
        <v>0</v>
      </c>
      <c r="H62" s="7" t="s">
        <v>122</v>
      </c>
      <c r="I62" s="14" t="s">
        <v>229</v>
      </c>
    </row>
    <row r="63" spans="1:9" x14ac:dyDescent="0.2">
      <c r="A63" s="9">
        <v>45977</v>
      </c>
      <c r="B63" s="14" t="s">
        <v>120</v>
      </c>
      <c r="C63" s="8">
        <v>7875</v>
      </c>
      <c r="D63" s="7" t="s">
        <v>66</v>
      </c>
      <c r="E63" s="7" t="s">
        <v>223</v>
      </c>
      <c r="F63" s="8">
        <v>7874</v>
      </c>
      <c r="G63" s="17">
        <v>1</v>
      </c>
      <c r="H63" s="7" t="s">
        <v>224</v>
      </c>
      <c r="I63" s="14" t="s">
        <v>230</v>
      </c>
    </row>
    <row r="64" spans="1:9" x14ac:dyDescent="0.2">
      <c r="A64" s="9">
        <v>45990</v>
      </c>
      <c r="B64" s="14" t="s">
        <v>133</v>
      </c>
      <c r="C64" s="8">
        <v>7875</v>
      </c>
      <c r="D64" s="7" t="s">
        <v>44</v>
      </c>
      <c r="E64" s="7" t="s">
        <v>223</v>
      </c>
      <c r="F64" s="8">
        <v>7874</v>
      </c>
      <c r="G64" s="17">
        <v>1</v>
      </c>
      <c r="H64" s="7" t="s">
        <v>224</v>
      </c>
      <c r="I64" s="14" t="s">
        <v>231</v>
      </c>
    </row>
    <row r="65" spans="1:9" x14ac:dyDescent="0.2">
      <c r="A65" s="9">
        <v>45990</v>
      </c>
      <c r="B65" s="14" t="s">
        <v>120</v>
      </c>
      <c r="C65" s="8">
        <v>3024</v>
      </c>
      <c r="D65" s="7" t="s">
        <v>102</v>
      </c>
      <c r="E65" s="7" t="s">
        <v>232</v>
      </c>
      <c r="F65" s="8">
        <v>3024</v>
      </c>
      <c r="G65" s="8">
        <v>0</v>
      </c>
      <c r="H65" s="7" t="s">
        <v>122</v>
      </c>
      <c r="I65" s="14" t="s">
        <v>233</v>
      </c>
    </row>
    <row r="66" spans="1:9" x14ac:dyDescent="0.2">
      <c r="A66" s="9">
        <v>45996</v>
      </c>
      <c r="B66" s="14" t="s">
        <v>120</v>
      </c>
      <c r="C66" s="8">
        <v>2246</v>
      </c>
      <c r="D66" s="7" t="s">
        <v>80</v>
      </c>
      <c r="E66" s="7" t="s">
        <v>234</v>
      </c>
      <c r="F66" s="8">
        <v>2246</v>
      </c>
      <c r="G66" s="8">
        <v>0</v>
      </c>
      <c r="H66" s="7" t="s">
        <v>122</v>
      </c>
      <c r="I66" s="14" t="s">
        <v>235</v>
      </c>
    </row>
    <row r="67" spans="1:9" x14ac:dyDescent="0.2">
      <c r="A67" s="9">
        <v>45998</v>
      </c>
      <c r="B67" s="14" t="s">
        <v>191</v>
      </c>
      <c r="C67" s="8">
        <v>4636</v>
      </c>
      <c r="D67" s="7" t="s">
        <v>68</v>
      </c>
      <c r="E67" s="7" t="s">
        <v>236</v>
      </c>
      <c r="F67" s="8">
        <v>4636</v>
      </c>
      <c r="G67" s="8">
        <v>0</v>
      </c>
      <c r="H67" s="7" t="s">
        <v>122</v>
      </c>
      <c r="I67" s="14" t="s">
        <v>237</v>
      </c>
    </row>
    <row r="68" spans="1:9" x14ac:dyDescent="0.2">
      <c r="A68" s="9">
        <v>46004</v>
      </c>
      <c r="B68" s="14" t="s">
        <v>133</v>
      </c>
      <c r="C68" s="8">
        <v>4636</v>
      </c>
      <c r="D68" s="7" t="s">
        <v>98</v>
      </c>
      <c r="E68" s="7" t="s">
        <v>236</v>
      </c>
      <c r="F68" s="8">
        <v>4636</v>
      </c>
      <c r="G68" s="8">
        <v>0</v>
      </c>
      <c r="H68" s="7" t="s">
        <v>122</v>
      </c>
      <c r="I68" s="14" t="s">
        <v>238</v>
      </c>
    </row>
    <row r="69" spans="1:9" x14ac:dyDescent="0.2">
      <c r="A69" s="9">
        <v>46006</v>
      </c>
      <c r="B69" s="14" t="s">
        <v>191</v>
      </c>
      <c r="C69" s="8">
        <v>4536</v>
      </c>
      <c r="D69" s="7" t="s">
        <v>64</v>
      </c>
      <c r="E69" s="7" t="s">
        <v>239</v>
      </c>
      <c r="F69" s="8">
        <v>4536</v>
      </c>
      <c r="G69" s="8">
        <v>0</v>
      </c>
      <c r="H69" s="7" t="s">
        <v>122</v>
      </c>
      <c r="I69" s="14" t="s">
        <v>240</v>
      </c>
    </row>
    <row r="70" spans="1:9" x14ac:dyDescent="0.2">
      <c r="A70" s="9">
        <v>46007</v>
      </c>
      <c r="B70" s="14" t="s">
        <v>191</v>
      </c>
      <c r="C70" s="8">
        <v>6825</v>
      </c>
      <c r="D70" s="7" t="s">
        <v>75</v>
      </c>
      <c r="E70" s="7" t="s">
        <v>241</v>
      </c>
      <c r="F70" s="8">
        <v>6824</v>
      </c>
      <c r="G70" s="17">
        <v>1</v>
      </c>
      <c r="H70" s="7" t="s">
        <v>224</v>
      </c>
      <c r="I70" s="14" t="s">
        <v>242</v>
      </c>
    </row>
    <row r="71" spans="1:9" ht="28" x14ac:dyDescent="0.2">
      <c r="A71" s="9">
        <v>46008</v>
      </c>
      <c r="B71" s="14" t="s">
        <v>120</v>
      </c>
      <c r="C71" s="8">
        <v>3024</v>
      </c>
      <c r="D71" s="7" t="s">
        <v>108</v>
      </c>
      <c r="E71" s="7" t="s">
        <v>243</v>
      </c>
      <c r="F71" s="8">
        <v>2880</v>
      </c>
      <c r="G71" s="17">
        <v>144</v>
      </c>
      <c r="H71" s="7" t="s">
        <v>244</v>
      </c>
      <c r="I71" s="14" t="s">
        <v>245</v>
      </c>
    </row>
    <row r="72" spans="1:9" x14ac:dyDescent="0.2">
      <c r="A72" s="9">
        <v>46015</v>
      </c>
      <c r="B72" s="14" t="s">
        <v>133</v>
      </c>
      <c r="C72" s="8">
        <v>7350</v>
      </c>
      <c r="D72" s="7" t="s">
        <v>70</v>
      </c>
      <c r="E72" s="7" t="s">
        <v>246</v>
      </c>
      <c r="F72" s="8">
        <v>7350</v>
      </c>
      <c r="G72" s="8">
        <v>0</v>
      </c>
      <c r="H72" s="7" t="s">
        <v>122</v>
      </c>
      <c r="I72" s="14" t="s">
        <v>247</v>
      </c>
    </row>
    <row r="73" spans="1:9" x14ac:dyDescent="0.2">
      <c r="A73" s="9">
        <v>46031</v>
      </c>
      <c r="B73" s="14" t="s">
        <v>120</v>
      </c>
      <c r="C73" s="8">
        <v>7875</v>
      </c>
      <c r="D73" s="7" t="s">
        <v>51</v>
      </c>
      <c r="E73" s="7" t="s">
        <v>223</v>
      </c>
      <c r="F73" s="8">
        <v>7874</v>
      </c>
      <c r="G73" s="17">
        <v>1</v>
      </c>
      <c r="H73" s="7" t="s">
        <v>224</v>
      </c>
      <c r="I73" s="14" t="s">
        <v>248</v>
      </c>
    </row>
    <row r="74" spans="1:9" x14ac:dyDescent="0.2">
      <c r="A74" s="9">
        <v>46032</v>
      </c>
      <c r="B74" s="14" t="s">
        <v>133</v>
      </c>
      <c r="C74" s="8">
        <v>3150</v>
      </c>
      <c r="D74" s="7" t="s">
        <v>60</v>
      </c>
      <c r="E74" s="7" t="s">
        <v>249</v>
      </c>
      <c r="F74" s="8">
        <v>3150</v>
      </c>
      <c r="G74" s="8">
        <v>0</v>
      </c>
      <c r="H74" s="7" t="s">
        <v>122</v>
      </c>
      <c r="I74" s="14" t="s">
        <v>250</v>
      </c>
    </row>
    <row r="75" spans="1:9" x14ac:dyDescent="0.2">
      <c r="A75" s="9">
        <v>46034</v>
      </c>
      <c r="B75" s="14" t="s">
        <v>191</v>
      </c>
      <c r="C75" s="8">
        <v>1050</v>
      </c>
      <c r="D75" s="7" t="s">
        <v>94</v>
      </c>
      <c r="E75" s="7" t="s">
        <v>251</v>
      </c>
      <c r="F75" s="8">
        <v>1050</v>
      </c>
      <c r="G75" s="8">
        <v>0</v>
      </c>
      <c r="H75" s="7" t="s">
        <v>122</v>
      </c>
      <c r="I75" s="14" t="s">
        <v>252</v>
      </c>
    </row>
    <row r="76" spans="1:9" x14ac:dyDescent="0.2">
      <c r="A76" s="9">
        <v>46041</v>
      </c>
      <c r="B76" s="14" t="s">
        <v>191</v>
      </c>
      <c r="C76" s="8">
        <v>5250</v>
      </c>
      <c r="D76" s="7" t="s">
        <v>91</v>
      </c>
      <c r="E76" s="7" t="s">
        <v>253</v>
      </c>
      <c r="F76" s="8">
        <v>5250</v>
      </c>
      <c r="G76" s="8">
        <v>0</v>
      </c>
      <c r="H76" s="7" t="s">
        <v>122</v>
      </c>
      <c r="I76" s="14" t="s">
        <v>254</v>
      </c>
    </row>
    <row r="77" spans="1:9" x14ac:dyDescent="0.2">
      <c r="A77" s="9">
        <v>46047</v>
      </c>
      <c r="B77" s="14" t="s">
        <v>133</v>
      </c>
      <c r="C77" s="8">
        <v>5355</v>
      </c>
      <c r="D77" s="7" t="s">
        <v>90</v>
      </c>
      <c r="E77" s="7" t="s">
        <v>255</v>
      </c>
      <c r="F77" s="8">
        <v>5354</v>
      </c>
      <c r="G77" s="17">
        <v>1</v>
      </c>
      <c r="H77" s="7" t="s">
        <v>224</v>
      </c>
      <c r="I77" s="14" t="s">
        <v>256</v>
      </c>
    </row>
    <row r="78" spans="1:9" x14ac:dyDescent="0.2">
      <c r="A78" s="9">
        <v>46048</v>
      </c>
      <c r="B78" s="14" t="s">
        <v>191</v>
      </c>
      <c r="C78" s="8">
        <v>1764</v>
      </c>
      <c r="D78" s="7" t="s">
        <v>73</v>
      </c>
      <c r="E78" s="7" t="s">
        <v>257</v>
      </c>
      <c r="F78" s="8">
        <v>1764</v>
      </c>
      <c r="G78" s="8">
        <v>0</v>
      </c>
      <c r="H78" s="7" t="s">
        <v>122</v>
      </c>
      <c r="I78" s="14" t="s">
        <v>258</v>
      </c>
    </row>
    <row r="79" spans="1:9" x14ac:dyDescent="0.2">
      <c r="A79" s="9">
        <v>46054</v>
      </c>
      <c r="B79" s="14" t="s">
        <v>133</v>
      </c>
      <c r="C79" s="8">
        <v>7875</v>
      </c>
      <c r="D79" s="7" t="s">
        <v>50</v>
      </c>
      <c r="E79" s="7" t="s">
        <v>223</v>
      </c>
      <c r="F79" s="8">
        <v>7874</v>
      </c>
      <c r="G79" s="17">
        <v>1</v>
      </c>
      <c r="H79" s="7" t="s">
        <v>224</v>
      </c>
      <c r="I79" s="14" t="s">
        <v>259</v>
      </c>
    </row>
    <row r="80" spans="1:9" x14ac:dyDescent="0.2">
      <c r="A80" s="9">
        <v>46073</v>
      </c>
      <c r="B80" s="14" t="s">
        <v>133</v>
      </c>
      <c r="C80" s="8">
        <v>5040</v>
      </c>
      <c r="D80" s="7" t="s">
        <v>65</v>
      </c>
      <c r="E80" s="7" t="s">
        <v>166</v>
      </c>
      <c r="F80" s="8">
        <v>5040</v>
      </c>
      <c r="G80" s="8">
        <v>0</v>
      </c>
      <c r="H80" s="7" t="s">
        <v>122</v>
      </c>
      <c r="I80" s="14" t="s">
        <v>260</v>
      </c>
    </row>
    <row r="81" spans="1:9" x14ac:dyDescent="0.2">
      <c r="A81" s="9">
        <v>46085</v>
      </c>
      <c r="B81" s="14" t="s">
        <v>120</v>
      </c>
      <c r="C81" s="8">
        <v>3150</v>
      </c>
      <c r="D81" s="7" t="s">
        <v>105</v>
      </c>
      <c r="E81" s="7" t="s">
        <v>249</v>
      </c>
      <c r="F81" s="8">
        <v>3150</v>
      </c>
      <c r="G81" s="8">
        <v>0</v>
      </c>
      <c r="H81" s="7" t="s">
        <v>122</v>
      </c>
      <c r="I81" s="14" t="s">
        <v>261</v>
      </c>
    </row>
    <row r="82" spans="1:9" x14ac:dyDescent="0.2">
      <c r="A82" s="9">
        <v>46098</v>
      </c>
      <c r="B82" s="14" t="s">
        <v>191</v>
      </c>
      <c r="C82" s="8">
        <v>4536</v>
      </c>
      <c r="D82" s="7" t="s">
        <v>64</v>
      </c>
      <c r="E82" s="7" t="s">
        <v>239</v>
      </c>
      <c r="F82" s="8">
        <v>4536</v>
      </c>
      <c r="G82" s="8">
        <v>0</v>
      </c>
      <c r="H82" s="7" t="s">
        <v>122</v>
      </c>
      <c r="I82" s="14" t="s">
        <v>262</v>
      </c>
    </row>
    <row r="83" spans="1:9" x14ac:dyDescent="0.2">
      <c r="A83" s="9">
        <v>46120</v>
      </c>
      <c r="B83" s="14" t="s">
        <v>133</v>
      </c>
      <c r="C83" s="8">
        <v>3150</v>
      </c>
      <c r="D83" s="7" t="s">
        <v>60</v>
      </c>
      <c r="E83" s="7" t="s">
        <v>249</v>
      </c>
      <c r="F83" s="8">
        <v>3150</v>
      </c>
      <c r="G83" s="8">
        <v>0</v>
      </c>
      <c r="H83" s="7" t="s">
        <v>122</v>
      </c>
      <c r="I83" s="14" t="s">
        <v>263</v>
      </c>
    </row>
    <row r="84" spans="1:9" x14ac:dyDescent="0.2">
      <c r="A84" s="9">
        <v>46124</v>
      </c>
      <c r="B84" s="14" t="s">
        <v>191</v>
      </c>
      <c r="C84" s="8">
        <v>5355</v>
      </c>
      <c r="D84" s="7" t="s">
        <v>73</v>
      </c>
      <c r="E84" s="7" t="s">
        <v>264</v>
      </c>
      <c r="F84" s="8">
        <v>5355</v>
      </c>
      <c r="G84" s="8">
        <v>0</v>
      </c>
      <c r="H84" s="7" t="s">
        <v>122</v>
      </c>
      <c r="I84" s="14" t="s">
        <v>265</v>
      </c>
    </row>
    <row r="85" spans="1:9" x14ac:dyDescent="0.2">
      <c r="A85" s="9">
        <v>46139</v>
      </c>
      <c r="B85" s="14" t="s">
        <v>133</v>
      </c>
      <c r="C85" s="8">
        <v>3528</v>
      </c>
      <c r="D85" s="7" t="s">
        <v>101</v>
      </c>
      <c r="E85" s="7" t="s">
        <v>266</v>
      </c>
      <c r="F85" s="8">
        <v>3528</v>
      </c>
      <c r="G85" s="8">
        <v>0</v>
      </c>
      <c r="H85" s="7" t="s">
        <v>122</v>
      </c>
      <c r="I85" s="14" t="s">
        <v>267</v>
      </c>
    </row>
    <row r="86" spans="1:9" x14ac:dyDescent="0.2">
      <c r="A86" s="9">
        <v>46168</v>
      </c>
      <c r="B86" s="14" t="s">
        <v>133</v>
      </c>
      <c r="C86" s="8">
        <v>2880</v>
      </c>
      <c r="D86" s="7" t="s">
        <v>67</v>
      </c>
      <c r="E86" s="7" t="s">
        <v>121</v>
      </c>
      <c r="F86" s="8">
        <v>2880</v>
      </c>
      <c r="G86" s="8">
        <v>0</v>
      </c>
      <c r="H86" s="7" t="s">
        <v>122</v>
      </c>
      <c r="I86" s="14" t="s">
        <v>268</v>
      </c>
    </row>
    <row r="87" spans="1:9" x14ac:dyDescent="0.2">
      <c r="A87" s="9">
        <v>46172</v>
      </c>
      <c r="B87" s="14" t="s">
        <v>133</v>
      </c>
      <c r="C87" s="8">
        <v>5355</v>
      </c>
      <c r="D87" s="7" t="s">
        <v>89</v>
      </c>
      <c r="E87" s="7" t="s">
        <v>264</v>
      </c>
      <c r="F87" s="8">
        <v>5355</v>
      </c>
      <c r="G87" s="8">
        <v>0</v>
      </c>
      <c r="H87" s="7" t="s">
        <v>153</v>
      </c>
      <c r="I87" s="14" t="s">
        <v>269</v>
      </c>
    </row>
    <row r="88" spans="1:9" x14ac:dyDescent="0.2">
      <c r="A88" s="9">
        <v>46174</v>
      </c>
      <c r="B88" s="14" t="s">
        <v>133</v>
      </c>
      <c r="C88" s="8">
        <v>3150</v>
      </c>
      <c r="D88" s="7" t="s">
        <v>270</v>
      </c>
      <c r="E88" s="7" t="s">
        <v>271</v>
      </c>
      <c r="F88" s="8">
        <v>3150</v>
      </c>
      <c r="G88" s="8">
        <v>0</v>
      </c>
      <c r="H88" s="16" t="s">
        <v>272</v>
      </c>
      <c r="I88" s="14" t="s">
        <v>273</v>
      </c>
    </row>
    <row r="89" spans="1:9" x14ac:dyDescent="0.2">
      <c r="A89" s="9">
        <v>46179</v>
      </c>
      <c r="B89" s="14" t="s">
        <v>120</v>
      </c>
      <c r="C89" s="8">
        <v>4158</v>
      </c>
      <c r="D89" s="7" t="s">
        <v>71</v>
      </c>
      <c r="E89" s="7" t="s">
        <v>274</v>
      </c>
      <c r="F89" s="8">
        <v>4158</v>
      </c>
      <c r="G89" s="8">
        <v>0</v>
      </c>
      <c r="H89" s="7" t="s">
        <v>122</v>
      </c>
      <c r="I89" s="14" t="s">
        <v>275</v>
      </c>
    </row>
    <row r="90" spans="1:9" x14ac:dyDescent="0.2">
      <c r="A90" s="9">
        <v>46207</v>
      </c>
      <c r="B90" s="14" t="s">
        <v>120</v>
      </c>
      <c r="C90" s="8">
        <v>7875</v>
      </c>
      <c r="D90" s="7" t="s">
        <v>43</v>
      </c>
      <c r="E90" s="7" t="s">
        <v>276</v>
      </c>
      <c r="F90" s="8">
        <v>7875</v>
      </c>
      <c r="G90" s="8">
        <v>0</v>
      </c>
      <c r="H90" s="15" t="s">
        <v>277</v>
      </c>
      <c r="I90" s="14" t="s">
        <v>278</v>
      </c>
    </row>
    <row r="91" spans="1:9" x14ac:dyDescent="0.2">
      <c r="A91" s="9">
        <v>46210</v>
      </c>
      <c r="B91" s="14" t="s">
        <v>133</v>
      </c>
      <c r="C91" s="8">
        <v>4158</v>
      </c>
      <c r="D91" s="7" t="s">
        <v>83</v>
      </c>
      <c r="E91" s="7" t="s">
        <v>274</v>
      </c>
      <c r="F91" s="8">
        <v>4158</v>
      </c>
      <c r="G91" s="8">
        <v>0</v>
      </c>
      <c r="H91" s="7" t="s">
        <v>122</v>
      </c>
      <c r="I91" s="14" t="s">
        <v>279</v>
      </c>
    </row>
    <row r="92" spans="1:9" x14ac:dyDescent="0.2">
      <c r="A92" s="9">
        <v>46211</v>
      </c>
      <c r="B92" s="14" t="s">
        <v>120</v>
      </c>
      <c r="C92" s="8">
        <v>5040</v>
      </c>
      <c r="D92" s="7" t="s">
        <v>93</v>
      </c>
      <c r="E92" s="7" t="s">
        <v>166</v>
      </c>
      <c r="F92" s="8">
        <v>5040</v>
      </c>
      <c r="G92" s="8">
        <v>0</v>
      </c>
      <c r="H92" s="7" t="s">
        <v>153</v>
      </c>
      <c r="I92" s="14" t="s">
        <v>280</v>
      </c>
    </row>
    <row r="93" spans="1:9" x14ac:dyDescent="0.2">
      <c r="A93" s="9">
        <v>46219</v>
      </c>
      <c r="B93" s="14" t="s">
        <v>191</v>
      </c>
      <c r="C93" s="8">
        <v>3024</v>
      </c>
      <c r="D93" s="7" t="s">
        <v>84</v>
      </c>
      <c r="E93" s="7" t="s">
        <v>232</v>
      </c>
      <c r="F93" s="8">
        <v>3024</v>
      </c>
      <c r="G93" s="8">
        <v>0</v>
      </c>
      <c r="H93" s="7" t="s">
        <v>122</v>
      </c>
      <c r="I93" s="14" t="s">
        <v>281</v>
      </c>
    </row>
    <row r="94" spans="1:9" x14ac:dyDescent="0.2">
      <c r="A94" s="9">
        <v>46225</v>
      </c>
      <c r="B94" s="14" t="s">
        <v>120</v>
      </c>
      <c r="C94" s="8">
        <v>7875</v>
      </c>
      <c r="D94" s="7" t="s">
        <v>39</v>
      </c>
      <c r="E94" s="7" t="s">
        <v>282</v>
      </c>
      <c r="F94" s="8">
        <v>7774</v>
      </c>
      <c r="G94" s="17">
        <v>101</v>
      </c>
      <c r="H94" s="15" t="s">
        <v>283</v>
      </c>
      <c r="I94" s="14" t="s">
        <v>284</v>
      </c>
    </row>
    <row r="95" spans="1:9" x14ac:dyDescent="0.2">
      <c r="A95" s="9">
        <v>46225</v>
      </c>
      <c r="B95" s="14" t="s">
        <v>120</v>
      </c>
      <c r="C95" s="8">
        <v>4725</v>
      </c>
      <c r="D95" s="7" t="s">
        <v>97</v>
      </c>
      <c r="E95" s="7" t="s">
        <v>285</v>
      </c>
      <c r="F95" s="8">
        <v>4725</v>
      </c>
      <c r="G95" s="8">
        <v>0</v>
      </c>
      <c r="H95" s="15" t="s">
        <v>277</v>
      </c>
      <c r="I95" s="14" t="s">
        <v>286</v>
      </c>
    </row>
    <row r="96" spans="1:9" ht="28" x14ac:dyDescent="0.2">
      <c r="A96" s="9">
        <v>46225</v>
      </c>
      <c r="B96" s="14" t="s">
        <v>120</v>
      </c>
      <c r="C96" s="8">
        <v>2520</v>
      </c>
      <c r="D96" s="7" t="s">
        <v>110</v>
      </c>
      <c r="E96" s="7" t="s">
        <v>287</v>
      </c>
      <c r="F96" s="8">
        <v>2520</v>
      </c>
      <c r="G96" s="8">
        <v>0</v>
      </c>
      <c r="H96" s="7" t="s">
        <v>219</v>
      </c>
      <c r="I96" s="14" t="s">
        <v>288</v>
      </c>
    </row>
    <row r="97" spans="1:9" ht="42" x14ac:dyDescent="0.2">
      <c r="A97" s="9">
        <v>46227</v>
      </c>
      <c r="B97" s="14" t="s">
        <v>120</v>
      </c>
      <c r="C97" s="8">
        <v>5355</v>
      </c>
      <c r="D97" s="7" t="s">
        <v>289</v>
      </c>
      <c r="E97" s="7" t="s">
        <v>290</v>
      </c>
      <c r="F97" s="8">
        <v>5676</v>
      </c>
      <c r="G97" s="17">
        <v>-321</v>
      </c>
      <c r="H97" s="16" t="s">
        <v>291</v>
      </c>
      <c r="I97" s="14" t="s">
        <v>292</v>
      </c>
    </row>
    <row r="99" spans="1:9" x14ac:dyDescent="0.2">
      <c r="B99" s="18" t="s">
        <v>293</v>
      </c>
      <c r="C99" s="13">
        <f>SUM(C2:C97)</f>
        <v>421641</v>
      </c>
      <c r="F99" s="13">
        <f>SUM(F2:F97)</f>
        <v>421629.9</v>
      </c>
    </row>
  </sheetData>
  <autoFilter ref="A1:I97"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9"/>
  <sheetViews>
    <sheetView zoomScaleNormal="100" workbookViewId="0"/>
  </sheetViews>
  <sheetFormatPr baseColWidth="10" defaultColWidth="8.6640625" defaultRowHeight="15" x14ac:dyDescent="0.2"/>
  <cols>
    <col min="1" max="2" width="30" customWidth="1"/>
    <col min="3" max="3" width="74" customWidth="1"/>
  </cols>
  <sheetData>
    <row r="1" spans="1:3" ht="19" x14ac:dyDescent="0.2">
      <c r="A1" s="19" t="s">
        <v>294</v>
      </c>
    </row>
    <row r="3" spans="1:3" ht="56" x14ac:dyDescent="0.2">
      <c r="A3" s="2" t="s">
        <v>295</v>
      </c>
    </row>
    <row r="5" spans="1:3" ht="16" x14ac:dyDescent="0.2">
      <c r="A5" s="3" t="s">
        <v>296</v>
      </c>
    </row>
    <row r="6" spans="1:3" x14ac:dyDescent="0.2">
      <c r="A6" s="20" t="s">
        <v>297</v>
      </c>
      <c r="B6" s="20" t="s">
        <v>298</v>
      </c>
      <c r="C6" s="20" t="s">
        <v>299</v>
      </c>
    </row>
    <row r="7" spans="1:3" ht="28" x14ac:dyDescent="0.2">
      <c r="A7" s="7" t="s">
        <v>300</v>
      </c>
      <c r="B7" s="21" t="s">
        <v>301</v>
      </c>
      <c r="C7" s="7" t="s">
        <v>302</v>
      </c>
    </row>
    <row r="8" spans="1:3" ht="28" x14ac:dyDescent="0.2">
      <c r="A8" s="7" t="s">
        <v>303</v>
      </c>
      <c r="B8" s="16" t="s">
        <v>304</v>
      </c>
      <c r="C8" s="7" t="s">
        <v>305</v>
      </c>
    </row>
    <row r="9" spans="1:3" ht="28" x14ac:dyDescent="0.2">
      <c r="A9" s="7" t="s">
        <v>306</v>
      </c>
      <c r="B9" s="22" t="s">
        <v>307</v>
      </c>
      <c r="C9" s="7" t="s">
        <v>308</v>
      </c>
    </row>
    <row r="10" spans="1:3" x14ac:dyDescent="0.2">
      <c r="A10" s="7" t="s">
        <v>309</v>
      </c>
      <c r="B10" s="23" t="s">
        <v>310</v>
      </c>
      <c r="C10" s="7" t="s">
        <v>311</v>
      </c>
    </row>
    <row r="11" spans="1:3" ht="28" x14ac:dyDescent="0.2">
      <c r="A11" s="7" t="s">
        <v>312</v>
      </c>
      <c r="B11" s="16" t="s">
        <v>313</v>
      </c>
      <c r="C11" s="7" t="s">
        <v>314</v>
      </c>
    </row>
    <row r="12" spans="1:3" ht="28" x14ac:dyDescent="0.2">
      <c r="A12" s="7" t="s">
        <v>315</v>
      </c>
      <c r="B12" s="23" t="s">
        <v>310</v>
      </c>
      <c r="C12" s="7" t="s">
        <v>316</v>
      </c>
    </row>
    <row r="13" spans="1:3" x14ac:dyDescent="0.2">
      <c r="A13" s="7" t="s">
        <v>317</v>
      </c>
      <c r="B13" s="23" t="s">
        <v>310</v>
      </c>
      <c r="C13" s="7" t="s">
        <v>318</v>
      </c>
    </row>
    <row r="14" spans="1:3" ht="28" x14ac:dyDescent="0.2">
      <c r="A14" s="7" t="s">
        <v>319</v>
      </c>
      <c r="B14" s="16" t="s">
        <v>313</v>
      </c>
      <c r="C14" s="7" t="s">
        <v>320</v>
      </c>
    </row>
    <row r="15" spans="1:3" ht="28" x14ac:dyDescent="0.2">
      <c r="A15" s="7" t="s">
        <v>321</v>
      </c>
      <c r="B15" s="23" t="s">
        <v>322</v>
      </c>
      <c r="C15" s="7" t="s">
        <v>323</v>
      </c>
    </row>
    <row r="16" spans="1:3" ht="70" x14ac:dyDescent="0.2">
      <c r="A16" s="7" t="s">
        <v>324</v>
      </c>
      <c r="B16" s="23" t="s">
        <v>325</v>
      </c>
      <c r="C16" s="7" t="s">
        <v>326</v>
      </c>
    </row>
    <row r="18" spans="1:1" ht="16" x14ac:dyDescent="0.2">
      <c r="A18" s="3" t="s">
        <v>327</v>
      </c>
    </row>
    <row r="19" spans="1:1" ht="112" x14ac:dyDescent="0.2">
      <c r="A19" s="2" t="s">
        <v>328</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zoomScaleNormal="100" workbookViewId="0"/>
  </sheetViews>
  <sheetFormatPr baseColWidth="10" defaultColWidth="8.6640625" defaultRowHeight="15" x14ac:dyDescent="0.2"/>
  <cols>
    <col min="1" max="2" width="30" customWidth="1"/>
    <col min="3" max="3" width="74" customWidth="1"/>
    <col min="4" max="4" width="18" customWidth="1"/>
    <col min="5" max="5" width="52" customWidth="1"/>
  </cols>
  <sheetData>
    <row r="1" spans="1:3" ht="19" x14ac:dyDescent="0.2">
      <c r="A1" s="19" t="s">
        <v>329</v>
      </c>
    </row>
    <row r="3" spans="1:3" ht="84" x14ac:dyDescent="0.2">
      <c r="A3" s="2" t="s">
        <v>330</v>
      </c>
    </row>
    <row r="5" spans="1:3" ht="16" x14ac:dyDescent="0.2">
      <c r="A5" s="3" t="s">
        <v>296</v>
      </c>
    </row>
    <row r="6" spans="1:3" x14ac:dyDescent="0.2">
      <c r="A6" s="20" t="s">
        <v>297</v>
      </c>
      <c r="B6" s="20" t="s">
        <v>298</v>
      </c>
      <c r="C6" s="20" t="s">
        <v>299</v>
      </c>
    </row>
    <row r="7" spans="1:3" ht="28" x14ac:dyDescent="0.2">
      <c r="A7" s="7" t="s">
        <v>331</v>
      </c>
      <c r="B7" s="23" t="s">
        <v>332</v>
      </c>
      <c r="C7" s="7" t="s">
        <v>333</v>
      </c>
    </row>
    <row r="8" spans="1:3" ht="42" x14ac:dyDescent="0.2">
      <c r="A8" s="7" t="s">
        <v>334</v>
      </c>
      <c r="B8" s="21" t="s">
        <v>335</v>
      </c>
      <c r="C8" s="7" t="s">
        <v>336</v>
      </c>
    </row>
    <row r="9" spans="1:3" ht="28" x14ac:dyDescent="0.2">
      <c r="A9" s="7" t="s">
        <v>337</v>
      </c>
      <c r="B9" s="16" t="s">
        <v>338</v>
      </c>
      <c r="C9" s="7" t="s">
        <v>339</v>
      </c>
    </row>
    <row r="10" spans="1:3" ht="28" x14ac:dyDescent="0.2">
      <c r="A10" s="7" t="s">
        <v>340</v>
      </c>
      <c r="B10" s="16" t="s">
        <v>341</v>
      </c>
      <c r="C10" s="7" t="s">
        <v>342</v>
      </c>
    </row>
    <row r="11" spans="1:3" ht="28" x14ac:dyDescent="0.2">
      <c r="A11" s="7" t="s">
        <v>312</v>
      </c>
      <c r="B11" s="16" t="s">
        <v>313</v>
      </c>
      <c r="C11" s="7" t="s">
        <v>343</v>
      </c>
    </row>
    <row r="12" spans="1:3" ht="28" x14ac:dyDescent="0.2">
      <c r="A12" s="7" t="s">
        <v>344</v>
      </c>
      <c r="B12" s="23" t="s">
        <v>345</v>
      </c>
      <c r="C12" s="7" t="s">
        <v>346</v>
      </c>
    </row>
    <row r="13" spans="1:3" x14ac:dyDescent="0.2">
      <c r="A13" s="7" t="s">
        <v>347</v>
      </c>
      <c r="B13" s="23" t="s">
        <v>345</v>
      </c>
      <c r="C13" s="7" t="s">
        <v>348</v>
      </c>
    </row>
    <row r="14" spans="1:3" ht="28" x14ac:dyDescent="0.2">
      <c r="A14" s="7" t="s">
        <v>349</v>
      </c>
      <c r="B14" s="16" t="s">
        <v>350</v>
      </c>
      <c r="C14" s="7" t="s">
        <v>351</v>
      </c>
    </row>
    <row r="15" spans="1:3" x14ac:dyDescent="0.2">
      <c r="A15" s="7" t="s">
        <v>352</v>
      </c>
      <c r="B15" s="23" t="s">
        <v>310</v>
      </c>
      <c r="C15" s="7" t="s">
        <v>353</v>
      </c>
    </row>
    <row r="17" spans="1:5" ht="16" x14ac:dyDescent="0.2">
      <c r="A17" s="3" t="s">
        <v>354</v>
      </c>
    </row>
    <row r="18" spans="1:5" x14ac:dyDescent="0.2">
      <c r="A18" s="20" t="s">
        <v>118</v>
      </c>
      <c r="B18" s="20" t="s">
        <v>355</v>
      </c>
      <c r="C18" s="20" t="s">
        <v>356</v>
      </c>
    </row>
    <row r="19" spans="1:5" x14ac:dyDescent="0.2">
      <c r="A19" s="24" t="s">
        <v>357</v>
      </c>
      <c r="B19" s="10">
        <v>84</v>
      </c>
      <c r="C19" s="7" t="s">
        <v>358</v>
      </c>
    </row>
    <row r="20" spans="1:5" x14ac:dyDescent="0.2">
      <c r="A20" s="24" t="s">
        <v>359</v>
      </c>
      <c r="B20" s="25">
        <v>6</v>
      </c>
      <c r="C20" s="7" t="s">
        <v>360</v>
      </c>
    </row>
    <row r="21" spans="1:5" ht="28" x14ac:dyDescent="0.2">
      <c r="A21" s="24" t="s">
        <v>361</v>
      </c>
      <c r="B21" s="25">
        <v>8</v>
      </c>
      <c r="C21" s="7" t="s">
        <v>362</v>
      </c>
    </row>
    <row r="22" spans="1:5" ht="28" x14ac:dyDescent="0.2">
      <c r="A22" s="24" t="s">
        <v>363</v>
      </c>
      <c r="B22" s="25">
        <v>1</v>
      </c>
      <c r="C22" s="7" t="s">
        <v>364</v>
      </c>
    </row>
    <row r="23" spans="1:5" ht="28" x14ac:dyDescent="0.2">
      <c r="A23" s="24" t="s">
        <v>365</v>
      </c>
      <c r="B23" s="25">
        <v>9</v>
      </c>
      <c r="C23" s="7" t="s">
        <v>366</v>
      </c>
    </row>
    <row r="24" spans="1:5" x14ac:dyDescent="0.2">
      <c r="A24" s="24" t="s">
        <v>367</v>
      </c>
      <c r="B24" s="25">
        <v>6</v>
      </c>
      <c r="C24" s="7" t="s">
        <v>368</v>
      </c>
    </row>
    <row r="25" spans="1:5" x14ac:dyDescent="0.2">
      <c r="A25" s="24" t="s">
        <v>369</v>
      </c>
      <c r="B25" s="25">
        <v>3</v>
      </c>
      <c r="C25" s="7" t="s">
        <v>370</v>
      </c>
    </row>
    <row r="26" spans="1:5" x14ac:dyDescent="0.2">
      <c r="A26" s="24" t="s">
        <v>371</v>
      </c>
      <c r="B26" s="25">
        <v>5</v>
      </c>
      <c r="C26" s="7" t="s">
        <v>372</v>
      </c>
    </row>
    <row r="27" spans="1:5" x14ac:dyDescent="0.2">
      <c r="A27" s="24" t="s">
        <v>373</v>
      </c>
      <c r="B27" s="25">
        <v>3</v>
      </c>
      <c r="C27" s="7" t="s">
        <v>374</v>
      </c>
    </row>
    <row r="29" spans="1:5" ht="16" x14ac:dyDescent="0.2">
      <c r="A29" s="3" t="s">
        <v>375</v>
      </c>
    </row>
    <row r="30" spans="1:5" x14ac:dyDescent="0.2">
      <c r="A30" s="7" t="s">
        <v>376</v>
      </c>
      <c r="B30" s="7" t="s">
        <v>377</v>
      </c>
      <c r="C30" s="7" t="s">
        <v>378</v>
      </c>
      <c r="D30" s="7" t="s">
        <v>379</v>
      </c>
      <c r="E30" s="7" t="s">
        <v>380</v>
      </c>
    </row>
    <row r="31" spans="1:5" x14ac:dyDescent="0.2">
      <c r="A31" s="7" t="s">
        <v>381</v>
      </c>
      <c r="B31" s="7" t="s">
        <v>377</v>
      </c>
      <c r="C31" s="7" t="s">
        <v>382</v>
      </c>
      <c r="D31" s="7" t="s">
        <v>383</v>
      </c>
      <c r="E31" s="7" t="s">
        <v>384</v>
      </c>
    </row>
    <row r="32" spans="1:5" x14ac:dyDescent="0.2">
      <c r="A32" s="7" t="s">
        <v>385</v>
      </c>
      <c r="B32" s="7" t="s">
        <v>377</v>
      </c>
      <c r="C32" s="7" t="s">
        <v>386</v>
      </c>
      <c r="D32" s="7" t="s">
        <v>387</v>
      </c>
      <c r="E32" s="7" t="s">
        <v>384</v>
      </c>
    </row>
    <row r="33" spans="1:5" x14ac:dyDescent="0.2">
      <c r="A33" s="26" t="s">
        <v>388</v>
      </c>
      <c r="B33" s="26"/>
      <c r="C33" s="26"/>
      <c r="D33" s="26" t="s">
        <v>389</v>
      </c>
      <c r="E33" s="26" t="s">
        <v>390</v>
      </c>
    </row>
    <row r="34" spans="1:5" ht="28" x14ac:dyDescent="0.2">
      <c r="A34" s="21" t="s">
        <v>391</v>
      </c>
      <c r="B34" s="21"/>
      <c r="C34" s="21"/>
      <c r="D34" s="21"/>
      <c r="E34" s="21" t="s">
        <v>392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7"/>
  <sheetViews>
    <sheetView zoomScaleNormal="100" workbookViewId="0"/>
  </sheetViews>
  <sheetFormatPr baseColWidth="10" defaultColWidth="8.6640625" defaultRowHeight="15" x14ac:dyDescent="0.2"/>
  <cols>
    <col min="1" max="2" width="30" customWidth="1"/>
    <col min="3" max="3" width="74" customWidth="1"/>
  </cols>
  <sheetData>
    <row r="1" spans="1:3" ht="19" x14ac:dyDescent="0.2">
      <c r="A1" s="19" t="s">
        <v>393</v>
      </c>
    </row>
    <row r="3" spans="1:3" ht="70" x14ac:dyDescent="0.2">
      <c r="A3" s="2" t="s">
        <v>394</v>
      </c>
    </row>
    <row r="5" spans="1:3" ht="16" x14ac:dyDescent="0.2">
      <c r="A5" s="3" t="s">
        <v>296</v>
      </c>
    </row>
    <row r="6" spans="1:3" x14ac:dyDescent="0.2">
      <c r="A6" s="20" t="s">
        <v>297</v>
      </c>
      <c r="B6" s="20" t="s">
        <v>298</v>
      </c>
      <c r="C6" s="20" t="s">
        <v>299</v>
      </c>
    </row>
    <row r="7" spans="1:3" x14ac:dyDescent="0.2">
      <c r="A7" s="7" t="s">
        <v>331</v>
      </c>
      <c r="B7" s="23" t="s">
        <v>332</v>
      </c>
      <c r="C7" s="7" t="s">
        <v>395</v>
      </c>
    </row>
    <row r="8" spans="1:3" ht="28" x14ac:dyDescent="0.2">
      <c r="A8" s="7" t="s">
        <v>396</v>
      </c>
      <c r="B8" s="23" t="s">
        <v>345</v>
      </c>
      <c r="C8" s="7" t="s">
        <v>397</v>
      </c>
    </row>
    <row r="9" spans="1:3" ht="28" x14ac:dyDescent="0.2">
      <c r="A9" s="7" t="s">
        <v>398</v>
      </c>
      <c r="B9" s="16" t="s">
        <v>399</v>
      </c>
      <c r="C9" s="7" t="s">
        <v>400</v>
      </c>
    </row>
    <row r="10" spans="1:3" x14ac:dyDescent="0.2">
      <c r="A10" s="7" t="s">
        <v>312</v>
      </c>
      <c r="B10" s="16" t="s">
        <v>313</v>
      </c>
      <c r="C10" s="7" t="s">
        <v>401</v>
      </c>
    </row>
    <row r="11" spans="1:3" ht="28" x14ac:dyDescent="0.2">
      <c r="A11" s="7" t="s">
        <v>402</v>
      </c>
      <c r="B11" s="23" t="s">
        <v>325</v>
      </c>
      <c r="C11" s="7" t="s">
        <v>403</v>
      </c>
    </row>
    <row r="13" spans="1:3" ht="16" x14ac:dyDescent="0.2">
      <c r="A13" s="3" t="s">
        <v>404</v>
      </c>
    </row>
    <row r="14" spans="1:3" ht="42" x14ac:dyDescent="0.2">
      <c r="A14" s="4" t="s">
        <v>405</v>
      </c>
    </row>
    <row r="15" spans="1:3" ht="56" x14ac:dyDescent="0.2">
      <c r="A15" s="4" t="s">
        <v>406</v>
      </c>
    </row>
    <row r="16" spans="1:3" ht="84" x14ac:dyDescent="0.2">
      <c r="A16" s="4" t="s">
        <v>407</v>
      </c>
    </row>
    <row r="17" spans="1:1" ht="84" x14ac:dyDescent="0.2">
      <c r="A17" s="4" t="s">
        <v>408</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7"/>
  <sheetViews>
    <sheetView zoomScaleNormal="100" workbookViewId="0"/>
  </sheetViews>
  <sheetFormatPr baseColWidth="10" defaultColWidth="8.6640625" defaultRowHeight="15" x14ac:dyDescent="0.2"/>
  <cols>
    <col min="1" max="1" width="30" customWidth="1"/>
    <col min="2" max="2" width="26" customWidth="1"/>
    <col min="3" max="3" width="16" customWidth="1"/>
    <col min="4" max="4" width="46" customWidth="1"/>
    <col min="5" max="5" width="60" customWidth="1"/>
    <col min="6" max="6" width="16" customWidth="1"/>
    <col min="7" max="7" width="56" customWidth="1"/>
  </cols>
  <sheetData>
    <row r="1" spans="1:5" ht="19" x14ac:dyDescent="0.2">
      <c r="A1" s="19" t="s">
        <v>409</v>
      </c>
    </row>
    <row r="3" spans="1:5" ht="84" x14ac:dyDescent="0.2">
      <c r="A3" s="2" t="s">
        <v>410</v>
      </c>
    </row>
    <row r="5" spans="1:5" ht="16" x14ac:dyDescent="0.2">
      <c r="A5" s="3" t="s">
        <v>411</v>
      </c>
    </row>
    <row r="6" spans="1:5" x14ac:dyDescent="0.2">
      <c r="A6" s="20" t="s">
        <v>412</v>
      </c>
      <c r="B6" s="20" t="s">
        <v>413</v>
      </c>
      <c r="C6" s="20" t="s">
        <v>414</v>
      </c>
      <c r="D6" s="20" t="s">
        <v>415</v>
      </c>
      <c r="E6" s="20" t="s">
        <v>416</v>
      </c>
    </row>
    <row r="7" spans="1:5" ht="28" x14ac:dyDescent="0.2">
      <c r="A7" s="26" t="s">
        <v>417</v>
      </c>
      <c r="B7" s="27" t="s">
        <v>418</v>
      </c>
      <c r="C7" s="7" t="s">
        <v>419</v>
      </c>
      <c r="D7" s="7" t="s">
        <v>420</v>
      </c>
      <c r="E7" s="7" t="s">
        <v>421</v>
      </c>
    </row>
    <row r="8" spans="1:5" ht="28" x14ac:dyDescent="0.2">
      <c r="A8" s="26" t="s">
        <v>422</v>
      </c>
      <c r="B8" s="23" t="s">
        <v>423</v>
      </c>
      <c r="C8" s="7" t="s">
        <v>419</v>
      </c>
      <c r="D8" s="7" t="s">
        <v>424</v>
      </c>
      <c r="E8" s="7" t="s">
        <v>425</v>
      </c>
    </row>
    <row r="9" spans="1:5" ht="28" x14ac:dyDescent="0.2">
      <c r="A9" s="26" t="s">
        <v>426</v>
      </c>
      <c r="B9" s="27" t="s">
        <v>427</v>
      </c>
      <c r="C9" s="7" t="s">
        <v>428</v>
      </c>
      <c r="D9" s="7" t="s">
        <v>429</v>
      </c>
      <c r="E9" s="7" t="s">
        <v>430</v>
      </c>
    </row>
    <row r="10" spans="1:5" x14ac:dyDescent="0.2">
      <c r="A10" s="26" t="s">
        <v>431</v>
      </c>
      <c r="B10" s="23" t="s">
        <v>432</v>
      </c>
      <c r="C10" s="7" t="s">
        <v>433</v>
      </c>
      <c r="D10" s="7" t="s">
        <v>434</v>
      </c>
      <c r="E10" s="7" t="s">
        <v>435</v>
      </c>
    </row>
    <row r="11" spans="1:5" ht="28" x14ac:dyDescent="0.2">
      <c r="A11" s="26" t="s">
        <v>436</v>
      </c>
      <c r="B11" s="23" t="s">
        <v>432</v>
      </c>
      <c r="C11" s="7" t="s">
        <v>433</v>
      </c>
      <c r="D11" s="7" t="s">
        <v>437</v>
      </c>
      <c r="E11" s="7" t="s">
        <v>438</v>
      </c>
    </row>
    <row r="12" spans="1:5" ht="28" x14ac:dyDescent="0.2">
      <c r="A12" s="26" t="s">
        <v>439</v>
      </c>
      <c r="B12" s="23" t="s">
        <v>432</v>
      </c>
      <c r="C12" s="7" t="s">
        <v>433</v>
      </c>
      <c r="D12" s="7" t="s">
        <v>440</v>
      </c>
      <c r="E12" s="7" t="s">
        <v>441</v>
      </c>
    </row>
    <row r="13" spans="1:5" ht="28" x14ac:dyDescent="0.2">
      <c r="A13" s="26" t="s">
        <v>442</v>
      </c>
      <c r="B13" s="27" t="s">
        <v>427</v>
      </c>
      <c r="C13" s="7" t="s">
        <v>428</v>
      </c>
      <c r="D13" s="7" t="s">
        <v>443</v>
      </c>
      <c r="E13" s="7" t="s">
        <v>444</v>
      </c>
    </row>
    <row r="14" spans="1:5" ht="28" x14ac:dyDescent="0.2">
      <c r="A14" s="26" t="s">
        <v>445</v>
      </c>
      <c r="B14" s="27" t="s">
        <v>446</v>
      </c>
      <c r="C14" s="7" t="s">
        <v>428</v>
      </c>
      <c r="D14" s="7" t="s">
        <v>447</v>
      </c>
      <c r="E14" s="7" t="s">
        <v>448</v>
      </c>
    </row>
    <row r="15" spans="1:5" x14ac:dyDescent="0.2">
      <c r="A15" s="26" t="s">
        <v>449</v>
      </c>
      <c r="B15" s="23" t="s">
        <v>432</v>
      </c>
      <c r="C15" s="7" t="s">
        <v>433</v>
      </c>
      <c r="D15" s="7" t="s">
        <v>450</v>
      </c>
      <c r="E15" s="7" t="s">
        <v>451</v>
      </c>
    </row>
    <row r="16" spans="1:5" x14ac:dyDescent="0.2">
      <c r="A16" s="26" t="s">
        <v>452</v>
      </c>
      <c r="B16" s="27" t="s">
        <v>427</v>
      </c>
      <c r="C16" s="7" t="s">
        <v>428</v>
      </c>
      <c r="D16" s="7" t="s">
        <v>453</v>
      </c>
      <c r="E16" s="7" t="s">
        <v>454</v>
      </c>
    </row>
    <row r="18" spans="1:4" ht="16" x14ac:dyDescent="0.2">
      <c r="A18" s="3" t="s">
        <v>455</v>
      </c>
    </row>
    <row r="19" spans="1:4" x14ac:dyDescent="0.2">
      <c r="A19" s="28" t="s">
        <v>456</v>
      </c>
      <c r="B19" s="28" t="s">
        <v>457</v>
      </c>
      <c r="C19" s="28" t="s">
        <v>458</v>
      </c>
      <c r="D19" s="28" t="s">
        <v>459</v>
      </c>
    </row>
    <row r="20" spans="1:4" x14ac:dyDescent="0.2">
      <c r="A20" s="29" t="s">
        <v>460</v>
      </c>
      <c r="B20" s="29" t="s">
        <v>461</v>
      </c>
      <c r="C20" s="29" t="s">
        <v>462</v>
      </c>
      <c r="D20" s="29" t="s">
        <v>463</v>
      </c>
    </row>
    <row r="21" spans="1:4" x14ac:dyDescent="0.2">
      <c r="A21" s="29" t="s">
        <v>464</v>
      </c>
      <c r="B21" s="29" t="s">
        <v>31</v>
      </c>
      <c r="C21" s="29" t="s">
        <v>465</v>
      </c>
      <c r="D21" s="29" t="s">
        <v>466</v>
      </c>
    </row>
    <row r="22" spans="1:4" x14ac:dyDescent="0.2">
      <c r="A22" s="29" t="s">
        <v>467</v>
      </c>
      <c r="B22" s="29" t="s">
        <v>31</v>
      </c>
      <c r="C22" s="29" t="s">
        <v>465</v>
      </c>
      <c r="D22" s="29" t="s">
        <v>468</v>
      </c>
    </row>
    <row r="23" spans="1:4" x14ac:dyDescent="0.2">
      <c r="A23" s="29" t="s">
        <v>469</v>
      </c>
      <c r="B23" s="29" t="s">
        <v>31</v>
      </c>
      <c r="C23" s="29" t="s">
        <v>465</v>
      </c>
      <c r="D23" s="29" t="s">
        <v>466</v>
      </c>
    </row>
    <row r="24" spans="1:4" x14ac:dyDescent="0.2">
      <c r="A24" s="30" t="s">
        <v>470</v>
      </c>
      <c r="B24" s="30"/>
      <c r="C24" s="30" t="s">
        <v>471</v>
      </c>
      <c r="D24" s="30" t="s">
        <v>472</v>
      </c>
    </row>
    <row r="25" spans="1:4" x14ac:dyDescent="0.2">
      <c r="A25" s="31" t="s">
        <v>473</v>
      </c>
      <c r="B25" s="31"/>
      <c r="C25" s="31" t="s">
        <v>474</v>
      </c>
      <c r="D25" s="31" t="s">
        <v>475</v>
      </c>
    </row>
    <row r="26" spans="1:4" x14ac:dyDescent="0.2">
      <c r="A26" s="29" t="s">
        <v>476</v>
      </c>
      <c r="B26" s="29"/>
      <c r="C26" s="29" t="s">
        <v>477</v>
      </c>
      <c r="D26" s="29" t="s">
        <v>478</v>
      </c>
    </row>
    <row r="27" spans="1:4" x14ac:dyDescent="0.2">
      <c r="A27" s="29" t="s">
        <v>479</v>
      </c>
      <c r="B27" s="29" t="s">
        <v>398</v>
      </c>
      <c r="C27" s="29" t="s">
        <v>480</v>
      </c>
      <c r="D27" s="29" t="s">
        <v>481</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8"/>
  <sheetViews>
    <sheetView zoomScaleNormal="100" workbookViewId="0"/>
  </sheetViews>
  <sheetFormatPr baseColWidth="10" defaultColWidth="8.6640625" defaultRowHeight="15" x14ac:dyDescent="0.2"/>
  <cols>
    <col min="1" max="1" width="22" customWidth="1"/>
    <col min="2" max="2" width="28" customWidth="1"/>
    <col min="3" max="3" width="16" customWidth="1"/>
    <col min="4" max="4" width="70" customWidth="1"/>
  </cols>
  <sheetData>
    <row r="1" spans="1:4" ht="19" x14ac:dyDescent="0.2">
      <c r="A1" s="19" t="s">
        <v>482</v>
      </c>
    </row>
    <row r="3" spans="1:4" ht="126" x14ac:dyDescent="0.2">
      <c r="A3" s="2" t="s">
        <v>483</v>
      </c>
    </row>
    <row r="5" spans="1:4" x14ac:dyDescent="0.2">
      <c r="A5" s="20" t="s">
        <v>484</v>
      </c>
      <c r="B5" s="20" t="s">
        <v>297</v>
      </c>
      <c r="C5" s="20" t="s">
        <v>485</v>
      </c>
      <c r="D5" s="20" t="s">
        <v>473</v>
      </c>
    </row>
    <row r="6" spans="1:4" x14ac:dyDescent="0.2">
      <c r="A6" s="32" t="s">
        <v>486</v>
      </c>
      <c r="B6" s="7" t="s">
        <v>487</v>
      </c>
      <c r="C6" s="7" t="s">
        <v>488</v>
      </c>
      <c r="D6" s="7" t="s">
        <v>489</v>
      </c>
    </row>
    <row r="7" spans="1:4" x14ac:dyDescent="0.2">
      <c r="A7" s="26"/>
      <c r="B7" s="7" t="s">
        <v>490</v>
      </c>
      <c r="C7" s="7" t="s">
        <v>491</v>
      </c>
      <c r="D7" s="7" t="s">
        <v>492</v>
      </c>
    </row>
    <row r="8" spans="1:4" x14ac:dyDescent="0.2">
      <c r="A8" s="26"/>
      <c r="B8" s="7" t="s">
        <v>493</v>
      </c>
      <c r="C8" s="7" t="s">
        <v>494</v>
      </c>
      <c r="D8" s="7" t="s">
        <v>495</v>
      </c>
    </row>
    <row r="9" spans="1:4" x14ac:dyDescent="0.2">
      <c r="A9" s="26"/>
      <c r="B9" s="7" t="s">
        <v>496</v>
      </c>
      <c r="C9" s="7" t="s">
        <v>491</v>
      </c>
      <c r="D9" s="7"/>
    </row>
    <row r="10" spans="1:4" ht="28" x14ac:dyDescent="0.2">
      <c r="A10" s="32" t="s">
        <v>497</v>
      </c>
      <c r="B10" s="7" t="s">
        <v>498</v>
      </c>
      <c r="C10" s="7" t="s">
        <v>488</v>
      </c>
      <c r="D10" s="7" t="s">
        <v>499</v>
      </c>
    </row>
    <row r="11" spans="1:4" x14ac:dyDescent="0.2">
      <c r="A11" s="26"/>
      <c r="B11" s="7" t="s">
        <v>500</v>
      </c>
      <c r="C11" s="7" t="s">
        <v>491</v>
      </c>
      <c r="D11" s="7" t="s">
        <v>501</v>
      </c>
    </row>
    <row r="12" spans="1:4" x14ac:dyDescent="0.2">
      <c r="A12" s="32" t="s">
        <v>502</v>
      </c>
      <c r="B12" s="7" t="s">
        <v>503</v>
      </c>
      <c r="C12" s="7" t="s">
        <v>488</v>
      </c>
      <c r="D12" s="7" t="s">
        <v>504</v>
      </c>
    </row>
    <row r="13" spans="1:4" ht="28" x14ac:dyDescent="0.2">
      <c r="A13" s="26"/>
      <c r="B13" s="7" t="s">
        <v>487</v>
      </c>
      <c r="C13" s="7" t="s">
        <v>505</v>
      </c>
      <c r="D13" s="7" t="s">
        <v>506</v>
      </c>
    </row>
    <row r="14" spans="1:4" x14ac:dyDescent="0.2">
      <c r="A14" s="26"/>
      <c r="B14" s="7" t="s">
        <v>507</v>
      </c>
      <c r="C14" s="7" t="s">
        <v>508</v>
      </c>
      <c r="D14" s="7" t="s">
        <v>509</v>
      </c>
    </row>
    <row r="15" spans="1:4" x14ac:dyDescent="0.2">
      <c r="A15" s="32" t="s">
        <v>510</v>
      </c>
      <c r="B15" s="7" t="s">
        <v>511</v>
      </c>
      <c r="C15" s="7" t="s">
        <v>488</v>
      </c>
      <c r="D15" s="7" t="s">
        <v>512</v>
      </c>
    </row>
    <row r="16" spans="1:4" x14ac:dyDescent="0.2">
      <c r="A16" s="26"/>
      <c r="B16" s="7" t="s">
        <v>487</v>
      </c>
      <c r="C16" s="7" t="s">
        <v>513</v>
      </c>
      <c r="D16" s="7" t="s">
        <v>514</v>
      </c>
    </row>
    <row r="17" spans="1:4" x14ac:dyDescent="0.2">
      <c r="A17" s="26"/>
      <c r="B17" s="7" t="s">
        <v>498</v>
      </c>
      <c r="C17" s="7" t="s">
        <v>494</v>
      </c>
      <c r="D17" s="7" t="s">
        <v>515</v>
      </c>
    </row>
    <row r="18" spans="1:4" x14ac:dyDescent="0.2">
      <c r="A18" s="26"/>
      <c r="B18" s="7" t="s">
        <v>516</v>
      </c>
      <c r="C18" s="7" t="s">
        <v>517</v>
      </c>
      <c r="D18" s="7" t="s">
        <v>518</v>
      </c>
    </row>
    <row r="19" spans="1:4" x14ac:dyDescent="0.2">
      <c r="A19" s="26"/>
      <c r="B19" s="7" t="s">
        <v>519</v>
      </c>
      <c r="C19" s="7" t="s">
        <v>517</v>
      </c>
      <c r="D19" s="7" t="s">
        <v>520</v>
      </c>
    </row>
    <row r="20" spans="1:4" ht="28" x14ac:dyDescent="0.2">
      <c r="A20" s="26"/>
      <c r="B20" s="7" t="s">
        <v>521</v>
      </c>
      <c r="C20" s="7" t="s">
        <v>522</v>
      </c>
      <c r="D20" s="7" t="s">
        <v>523</v>
      </c>
    </row>
    <row r="21" spans="1:4" ht="28" x14ac:dyDescent="0.2">
      <c r="A21" s="26"/>
      <c r="B21" s="7" t="s">
        <v>524</v>
      </c>
      <c r="C21" s="7" t="s">
        <v>491</v>
      </c>
      <c r="D21" s="7" t="s">
        <v>525</v>
      </c>
    </row>
    <row r="22" spans="1:4" x14ac:dyDescent="0.2">
      <c r="A22" s="26"/>
      <c r="B22" s="7" t="s">
        <v>526</v>
      </c>
      <c r="C22" s="7" t="s">
        <v>527</v>
      </c>
      <c r="D22" s="7" t="s">
        <v>528</v>
      </c>
    </row>
    <row r="23" spans="1:4" x14ac:dyDescent="0.2">
      <c r="A23" s="32" t="s">
        <v>529</v>
      </c>
      <c r="B23" s="7" t="s">
        <v>530</v>
      </c>
      <c r="C23" s="7" t="s">
        <v>488</v>
      </c>
      <c r="D23" s="7" t="s">
        <v>531</v>
      </c>
    </row>
    <row r="24" spans="1:4" x14ac:dyDescent="0.2">
      <c r="A24" s="26"/>
      <c r="B24" s="7" t="s">
        <v>503</v>
      </c>
      <c r="C24" s="7" t="s">
        <v>532</v>
      </c>
      <c r="D24" s="7" t="s">
        <v>533</v>
      </c>
    </row>
    <row r="25" spans="1:4" ht="28" x14ac:dyDescent="0.2">
      <c r="A25" s="26"/>
      <c r="B25" s="7" t="s">
        <v>534</v>
      </c>
      <c r="C25" s="7" t="s">
        <v>535</v>
      </c>
      <c r="D25" s="7" t="s">
        <v>536</v>
      </c>
    </row>
    <row r="26" spans="1:4" x14ac:dyDescent="0.2">
      <c r="A26" s="22" t="s">
        <v>537</v>
      </c>
      <c r="B26" s="33" t="s">
        <v>538</v>
      </c>
      <c r="C26" s="33" t="s">
        <v>539</v>
      </c>
      <c r="D26" s="33" t="s">
        <v>540</v>
      </c>
    </row>
    <row r="27" spans="1:4" ht="28" x14ac:dyDescent="0.2">
      <c r="A27" s="22"/>
      <c r="B27" s="33" t="s">
        <v>541</v>
      </c>
      <c r="C27" s="33" t="s">
        <v>517</v>
      </c>
      <c r="D27" s="33" t="s">
        <v>542</v>
      </c>
    </row>
    <row r="28" spans="1:4" ht="28" x14ac:dyDescent="0.2">
      <c r="A28" s="32" t="s">
        <v>543</v>
      </c>
      <c r="B28" s="7" t="s">
        <v>544</v>
      </c>
      <c r="C28" s="7"/>
      <c r="D28" s="7" t="s">
        <v>545</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1"/>
  <sheetViews>
    <sheetView topLeftCell="A3" zoomScaleNormal="100" workbookViewId="0"/>
  </sheetViews>
  <sheetFormatPr baseColWidth="10" defaultColWidth="8.6640625" defaultRowHeight="15" x14ac:dyDescent="0.2"/>
  <cols>
    <col min="1" max="1" width="10" customWidth="1"/>
    <col min="2" max="2" width="40" customWidth="1"/>
    <col min="3" max="3" width="16" customWidth="1"/>
    <col min="4" max="4" width="74" customWidth="1"/>
  </cols>
  <sheetData>
    <row r="1" spans="1:4" ht="19" x14ac:dyDescent="0.2">
      <c r="A1" s="19" t="s">
        <v>546</v>
      </c>
    </row>
    <row r="3" spans="1:4" ht="224" x14ac:dyDescent="0.2">
      <c r="A3" s="2" t="s">
        <v>547</v>
      </c>
    </row>
    <row r="5" spans="1:4" x14ac:dyDescent="0.2">
      <c r="A5" s="20" t="s">
        <v>548</v>
      </c>
      <c r="B5" s="20" t="s">
        <v>549</v>
      </c>
      <c r="C5" s="20" t="s">
        <v>550</v>
      </c>
      <c r="D5" s="20" t="s">
        <v>38</v>
      </c>
    </row>
    <row r="6" spans="1:4" ht="28" x14ac:dyDescent="0.2">
      <c r="A6" s="7" t="s">
        <v>551</v>
      </c>
      <c r="B6" s="7" t="s">
        <v>552</v>
      </c>
      <c r="C6" s="33" t="s">
        <v>553</v>
      </c>
      <c r="D6" s="7" t="s">
        <v>554</v>
      </c>
    </row>
    <row r="7" spans="1:4" x14ac:dyDescent="0.2">
      <c r="A7" s="7" t="s">
        <v>555</v>
      </c>
      <c r="B7" s="7" t="s">
        <v>556</v>
      </c>
      <c r="C7" s="33" t="s">
        <v>553</v>
      </c>
      <c r="D7" s="7" t="s">
        <v>557</v>
      </c>
    </row>
    <row r="8" spans="1:4" x14ac:dyDescent="0.2">
      <c r="A8" s="7" t="s">
        <v>558</v>
      </c>
      <c r="B8" s="7" t="s">
        <v>559</v>
      </c>
      <c r="C8" s="33" t="s">
        <v>553</v>
      </c>
      <c r="D8" s="7" t="s">
        <v>560</v>
      </c>
    </row>
    <row r="9" spans="1:4" ht="28" x14ac:dyDescent="0.2">
      <c r="A9" s="7" t="s">
        <v>561</v>
      </c>
      <c r="B9" s="7" t="s">
        <v>562</v>
      </c>
      <c r="C9" s="15" t="s">
        <v>563</v>
      </c>
      <c r="D9" s="7" t="s">
        <v>564</v>
      </c>
    </row>
    <row r="10" spans="1:4" ht="28" x14ac:dyDescent="0.2">
      <c r="A10" s="7" t="s">
        <v>565</v>
      </c>
      <c r="B10" s="7" t="s">
        <v>566</v>
      </c>
      <c r="C10" s="15" t="s">
        <v>563</v>
      </c>
      <c r="D10" s="7" t="s">
        <v>567</v>
      </c>
    </row>
    <row r="11" spans="1:4" x14ac:dyDescent="0.2">
      <c r="A11" s="7" t="s">
        <v>568</v>
      </c>
      <c r="B11" s="7" t="s">
        <v>569</v>
      </c>
      <c r="C11" s="15" t="s">
        <v>570</v>
      </c>
      <c r="D11" s="7" t="s">
        <v>571</v>
      </c>
    </row>
    <row r="12" spans="1:4" ht="28" x14ac:dyDescent="0.2">
      <c r="A12" s="7" t="s">
        <v>572</v>
      </c>
      <c r="B12" s="7" t="s">
        <v>573</v>
      </c>
      <c r="C12" s="27" t="s">
        <v>574</v>
      </c>
      <c r="D12" s="7" t="s">
        <v>575</v>
      </c>
    </row>
    <row r="13" spans="1:4" ht="28" x14ac:dyDescent="0.2">
      <c r="A13" s="7" t="s">
        <v>576</v>
      </c>
      <c r="B13" s="7" t="s">
        <v>577</v>
      </c>
      <c r="C13" s="16" t="s">
        <v>578</v>
      </c>
      <c r="D13" s="7" t="s">
        <v>579</v>
      </c>
    </row>
    <row r="15" spans="1:4" ht="16" x14ac:dyDescent="0.2">
      <c r="A15" s="3" t="s">
        <v>580</v>
      </c>
    </row>
    <row r="16" spans="1:4" ht="238" x14ac:dyDescent="0.2">
      <c r="A16" s="4" t="s">
        <v>581</v>
      </c>
    </row>
    <row r="17" spans="1:1" ht="112" x14ac:dyDescent="0.2">
      <c r="A17" s="4" t="s">
        <v>582</v>
      </c>
    </row>
    <row r="18" spans="1:1" ht="98" x14ac:dyDescent="0.2">
      <c r="A18" s="4" t="s">
        <v>583</v>
      </c>
    </row>
    <row r="19" spans="1:1" ht="84" x14ac:dyDescent="0.2">
      <c r="A19" s="4" t="s">
        <v>584</v>
      </c>
    </row>
    <row r="20" spans="1:1" ht="252" x14ac:dyDescent="0.2">
      <c r="A20" s="4" t="s">
        <v>585</v>
      </c>
    </row>
    <row r="21" spans="1:1" ht="224" x14ac:dyDescent="0.2">
      <c r="A21" s="4" t="s">
        <v>586</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6"/>
  <sheetViews>
    <sheetView topLeftCell="A3" zoomScaleNormal="100" workbookViewId="0"/>
  </sheetViews>
  <sheetFormatPr baseColWidth="10" defaultColWidth="8.6640625" defaultRowHeight="15" x14ac:dyDescent="0.2"/>
  <cols>
    <col min="1" max="1" width="7" customWidth="1"/>
    <col min="2" max="2" width="30" customWidth="1"/>
    <col min="3" max="3" width="13" customWidth="1"/>
    <col min="4" max="4" width="14" customWidth="1"/>
    <col min="5" max="5" width="44" customWidth="1"/>
    <col min="6" max="6" width="52" customWidth="1"/>
    <col min="7" max="7" width="60" customWidth="1"/>
  </cols>
  <sheetData>
    <row r="1" spans="1:7" ht="19" x14ac:dyDescent="0.2">
      <c r="A1" s="19" t="s">
        <v>587</v>
      </c>
    </row>
    <row r="3" spans="1:7" ht="319" x14ac:dyDescent="0.2">
      <c r="A3" s="2" t="s">
        <v>588</v>
      </c>
    </row>
    <row r="5" spans="1:7" x14ac:dyDescent="0.2">
      <c r="A5" s="20" t="s">
        <v>589</v>
      </c>
      <c r="B5" s="20" t="s">
        <v>590</v>
      </c>
      <c r="C5" s="20" t="s">
        <v>591</v>
      </c>
      <c r="D5" s="20" t="s">
        <v>592</v>
      </c>
      <c r="E5" s="20" t="s">
        <v>593</v>
      </c>
      <c r="F5" s="20" t="s">
        <v>594</v>
      </c>
      <c r="G5" s="20" t="s">
        <v>595</v>
      </c>
    </row>
    <row r="6" spans="1:7" ht="28" x14ac:dyDescent="0.2">
      <c r="A6" s="7">
        <v>1</v>
      </c>
      <c r="B6" s="7" t="s">
        <v>108</v>
      </c>
      <c r="C6" s="34">
        <v>46008</v>
      </c>
      <c r="D6" s="35">
        <v>3024</v>
      </c>
      <c r="E6" s="7" t="s">
        <v>596</v>
      </c>
      <c r="F6" s="7" t="s">
        <v>597</v>
      </c>
      <c r="G6" s="15" t="s">
        <v>598</v>
      </c>
    </row>
    <row r="7" spans="1:7" ht="28" x14ac:dyDescent="0.2">
      <c r="A7" s="7">
        <v>2</v>
      </c>
      <c r="B7" s="7" t="s">
        <v>39</v>
      </c>
      <c r="C7" s="34">
        <v>46225</v>
      </c>
      <c r="D7" s="35">
        <v>7875</v>
      </c>
      <c r="E7" s="7" t="s">
        <v>599</v>
      </c>
      <c r="F7" s="7" t="s">
        <v>600</v>
      </c>
      <c r="G7" s="15" t="s">
        <v>601</v>
      </c>
    </row>
    <row r="8" spans="1:7" ht="28" x14ac:dyDescent="0.2">
      <c r="A8" s="7">
        <v>3</v>
      </c>
      <c r="B8" s="7" t="s">
        <v>289</v>
      </c>
      <c r="C8" s="34">
        <v>46227</v>
      </c>
      <c r="D8" s="35">
        <v>5355</v>
      </c>
      <c r="E8" s="7" t="s">
        <v>602</v>
      </c>
      <c r="F8" s="7" t="s">
        <v>603</v>
      </c>
      <c r="G8" s="15" t="s">
        <v>604</v>
      </c>
    </row>
    <row r="9" spans="1:7" ht="28" x14ac:dyDescent="0.2">
      <c r="A9" s="7">
        <v>4</v>
      </c>
      <c r="B9" s="7" t="s">
        <v>270</v>
      </c>
      <c r="C9" s="34">
        <v>46174</v>
      </c>
      <c r="D9" s="35">
        <v>3150</v>
      </c>
      <c r="E9" s="7" t="s">
        <v>605</v>
      </c>
      <c r="F9" s="7" t="s">
        <v>606</v>
      </c>
      <c r="G9" s="15" t="s">
        <v>607</v>
      </c>
    </row>
    <row r="10" spans="1:7" ht="28" x14ac:dyDescent="0.2">
      <c r="A10" s="7">
        <v>5</v>
      </c>
      <c r="B10" s="7" t="s">
        <v>51</v>
      </c>
      <c r="C10" s="34">
        <v>46031</v>
      </c>
      <c r="D10" s="35">
        <v>7875</v>
      </c>
      <c r="E10" s="7" t="s">
        <v>608</v>
      </c>
      <c r="F10" s="7" t="s">
        <v>609</v>
      </c>
      <c r="G10" s="15" t="s">
        <v>610</v>
      </c>
    </row>
    <row r="11" spans="1:7" ht="28" x14ac:dyDescent="0.2">
      <c r="A11" s="7">
        <v>6</v>
      </c>
      <c r="B11" s="7" t="s">
        <v>74</v>
      </c>
      <c r="C11" s="34">
        <v>45906</v>
      </c>
      <c r="D11" s="35">
        <v>4636</v>
      </c>
      <c r="E11" s="7" t="s">
        <v>611</v>
      </c>
      <c r="F11" s="7" t="s">
        <v>612</v>
      </c>
      <c r="G11" s="15" t="s">
        <v>613</v>
      </c>
    </row>
    <row r="12" spans="1:7" ht="28" x14ac:dyDescent="0.2">
      <c r="A12" s="7">
        <v>7</v>
      </c>
      <c r="B12" s="7" t="s">
        <v>110</v>
      </c>
      <c r="C12" s="34">
        <v>46225</v>
      </c>
      <c r="D12" s="35">
        <v>2520</v>
      </c>
      <c r="E12" s="7" t="s">
        <v>614</v>
      </c>
      <c r="F12" s="7" t="s">
        <v>615</v>
      </c>
      <c r="G12" s="15" t="s">
        <v>616</v>
      </c>
    </row>
    <row r="13" spans="1:7" ht="28" x14ac:dyDescent="0.2">
      <c r="A13" s="7">
        <v>8</v>
      </c>
      <c r="B13" s="7" t="s">
        <v>48</v>
      </c>
      <c r="C13" s="34">
        <v>45836</v>
      </c>
      <c r="D13" s="35">
        <v>7500</v>
      </c>
      <c r="E13" s="7" t="s">
        <v>617</v>
      </c>
      <c r="F13" s="7" t="s">
        <v>618</v>
      </c>
      <c r="G13" s="15" t="s">
        <v>619</v>
      </c>
    </row>
    <row r="15" spans="1:7" ht="16" x14ac:dyDescent="0.2">
      <c r="A15" s="3" t="s">
        <v>620</v>
      </c>
    </row>
    <row r="16" spans="1:7" ht="409.6" x14ac:dyDescent="0.2">
      <c r="A16" s="2" t="s">
        <v>621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1. The Brief</vt:lpstr>
      <vt:lpstr>2. Families</vt:lpstr>
      <vt:lpstr>3. Joint Payments</vt:lpstr>
      <vt:lpstr>4. In Student Records</vt:lpstr>
      <vt:lpstr>5. In Packages</vt:lpstr>
      <vt:lpstr>6. In Attendance</vt:lpstr>
      <vt:lpstr>7. Family Rollup</vt:lpstr>
      <vt:lpstr>8. Proposed Data Model</vt:lpstr>
      <vt:lpstr>9. Detection Rules</vt:lpstr>
      <vt:lpstr>10.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amit goyal</cp:lastModifiedBy>
  <cp:revision>0</cp:revision>
  <dcterms:created xsi:type="dcterms:W3CDTF">2026-08-05T13:18:03Z</dcterms:created>
  <dcterms:modified xsi:type="dcterms:W3CDTF">2026-08-05T13:24:09Z</dcterms:modified>
  <dc:language>en-US</dc:language>
</cp:coreProperties>
</file>